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uario\Dropbox\SIG\1. SIG UNION TEMPORAL\5. PROCESO OPERATIVO\10. PROYECTO SISTEMA DE INFORMACION\"/>
    </mc:Choice>
  </mc:AlternateContent>
  <xr:revisionPtr revIDLastSave="0" documentId="13_ncr:1_{76A3197D-D5E0-48FE-A295-D8994EBEEAFE}" xr6:coauthVersionLast="47" xr6:coauthVersionMax="47" xr10:uidLastSave="{00000000-0000-0000-0000-000000000000}"/>
  <bookViews>
    <workbookView xWindow="-120" yWindow="-120" windowWidth="20730" windowHeight="11040" activeTab="3" xr2:uid="{887AE60C-8A20-45BD-8C02-9676FC075183}"/>
  </bookViews>
  <sheets>
    <sheet name="TABLA_1_INV" sheetId="1" r:id="rId1"/>
    <sheet name="TABLA_2_MASTER" sheetId="2" r:id="rId2"/>
    <sheet name="TABLA_3_ALMACEN" sheetId="4" r:id="rId3"/>
    <sheet name="TABLA_4_BODEGA" sheetId="5" r:id="rId4"/>
    <sheet name="TABLA_5_CLIENTES" sheetId="6" r:id="rId5"/>
    <sheet name="TABLA_6_PRODUCTO TERMINADO" sheetId="9" r:id="rId6"/>
    <sheet name="TABLA_7_MANO DE OBRA" sheetId="8" r:id="rId7"/>
    <sheet name="TABLA_8_DEPRECIACION EQUIPOS " sheetId="11" r:id="rId8"/>
    <sheet name="CALCULO_FCA" sheetId="10" r:id="rId9"/>
    <sheet name="FORMATO_ORDEN DE PRODUCCION" sheetId="7" r:id="rId10"/>
    <sheet name="TABLA_CIF" sheetId="12" r:id="rId11"/>
  </sheets>
  <definedNames>
    <definedName name="_xlnm._FilterDatabase" localSheetId="0" hidden="1">TABLA_1_INV!$A$1:$H$44</definedName>
    <definedName name="_xlnm._FilterDatabase" localSheetId="1" hidden="1">TABLA_2_MASTER!$A$1:$R$68</definedName>
    <definedName name="_xlnm._FilterDatabase" localSheetId="2" hidden="1">TABLA_3_ALMACEN!$A$1:$C$847</definedName>
    <definedName name="_xlnm._FilterDatabase" localSheetId="3" hidden="1">TABLA_4_BODEGA!$A$1:$H$132</definedName>
    <definedName name="_xlnm._FilterDatabase" localSheetId="7" hidden="1">'TABLA_8_DEPRECIACION EQUIPOS '!$B$1:$L$130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5" l="1"/>
  <c r="G2" i="5"/>
  <c r="H11" i="8"/>
  <c r="I10" i="8" s="1"/>
  <c r="G39" i="7"/>
  <c r="D9" i="12"/>
  <c r="E9" i="12"/>
  <c r="F9" i="12"/>
  <c r="F4" i="12"/>
  <c r="F5" i="12"/>
  <c r="F6" i="12"/>
  <c r="F7" i="12"/>
  <c r="F8" i="12"/>
  <c r="F3" i="12"/>
  <c r="E4" i="12"/>
  <c r="E5" i="12"/>
  <c r="E6" i="12"/>
  <c r="E7" i="12"/>
  <c r="E8" i="12"/>
  <c r="E3" i="12"/>
  <c r="F2" i="12"/>
  <c r="E2" i="12"/>
  <c r="D2" i="12"/>
  <c r="D4" i="12" s="1"/>
  <c r="E31" i="9"/>
  <c r="I31" i="9" s="1"/>
  <c r="E30" i="9"/>
  <c r="I30" i="9" s="1"/>
  <c r="E29" i="9"/>
  <c r="I29" i="9" s="1"/>
  <c r="E28" i="9"/>
  <c r="I28" i="9" s="1"/>
  <c r="E23" i="9"/>
  <c r="I23" i="9" s="1"/>
  <c r="E22" i="9"/>
  <c r="I22" i="9" s="1"/>
  <c r="E21" i="9"/>
  <c r="I21" i="9" s="1"/>
  <c r="E20" i="9"/>
  <c r="I20" i="9" s="1"/>
  <c r="E15" i="9"/>
  <c r="I15" i="9" s="1"/>
  <c r="E14" i="9"/>
  <c r="I14" i="9" s="1"/>
  <c r="E13" i="9"/>
  <c r="I13" i="9" s="1"/>
  <c r="E12" i="9"/>
  <c r="I12" i="9" s="1"/>
  <c r="C4" i="12"/>
  <c r="C6" i="12"/>
  <c r="C7" i="12"/>
  <c r="C8" i="12"/>
  <c r="B3" i="12"/>
  <c r="C3" i="12" s="1"/>
  <c r="B5" i="12"/>
  <c r="I12" i="8"/>
  <c r="I9" i="8"/>
  <c r="I3" i="8"/>
  <c r="I4" i="8"/>
  <c r="I5" i="8"/>
  <c r="I6" i="8"/>
  <c r="I7" i="8"/>
  <c r="I8" i="8"/>
  <c r="I2" i="8"/>
  <c r="D7" i="12" l="1"/>
  <c r="D5" i="12"/>
  <c r="D3" i="12"/>
  <c r="C5" i="12"/>
  <c r="C9" i="12" s="1"/>
  <c r="H39" i="7" s="1"/>
  <c r="D8" i="12"/>
  <c r="D6" i="12"/>
  <c r="I2" i="11"/>
  <c r="I134" i="11"/>
  <c r="I132" i="11"/>
  <c r="I131" i="11"/>
  <c r="D28" i="7"/>
  <c r="G28" i="7"/>
  <c r="H28" i="7"/>
  <c r="D27" i="7"/>
  <c r="D32" i="7"/>
  <c r="E32" i="7" s="1"/>
  <c r="E36" i="7"/>
  <c r="H119" i="11"/>
  <c r="I119" i="11" s="1"/>
  <c r="J119" i="11"/>
  <c r="J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20" i="11"/>
  <c r="J121" i="11"/>
  <c r="J122" i="11"/>
  <c r="J123" i="11"/>
  <c r="J124" i="11"/>
  <c r="J125" i="11"/>
  <c r="J126" i="11"/>
  <c r="J127" i="11"/>
  <c r="J128" i="11"/>
  <c r="J129" i="11"/>
  <c r="J130" i="11"/>
  <c r="H3" i="11"/>
  <c r="I3" i="11" s="1"/>
  <c r="H4" i="11"/>
  <c r="I4" i="11" s="1"/>
  <c r="H5" i="11"/>
  <c r="I5" i="11" s="1"/>
  <c r="H6" i="11"/>
  <c r="I6" i="11" s="1"/>
  <c r="H7" i="11"/>
  <c r="I7" i="11" s="1"/>
  <c r="H8" i="11"/>
  <c r="I8" i="11" s="1"/>
  <c r="H9" i="11"/>
  <c r="I9" i="11" s="1"/>
  <c r="H10" i="11"/>
  <c r="I10" i="11" s="1"/>
  <c r="H11" i="11"/>
  <c r="I11" i="11" s="1"/>
  <c r="H12" i="11"/>
  <c r="I12" i="11" s="1"/>
  <c r="H13" i="11"/>
  <c r="I13" i="11" s="1"/>
  <c r="H14" i="11"/>
  <c r="I14" i="11" s="1"/>
  <c r="H15" i="11"/>
  <c r="I15" i="11" s="1"/>
  <c r="H16" i="11"/>
  <c r="I16" i="11" s="1"/>
  <c r="H17" i="11"/>
  <c r="I17" i="11" s="1"/>
  <c r="H18" i="11"/>
  <c r="I18" i="11" s="1"/>
  <c r="H19" i="11"/>
  <c r="I19" i="11" s="1"/>
  <c r="H20" i="11"/>
  <c r="I20" i="11" s="1"/>
  <c r="H21" i="11"/>
  <c r="I21" i="11" s="1"/>
  <c r="H22" i="11"/>
  <c r="I22" i="11" s="1"/>
  <c r="H23" i="11"/>
  <c r="I23" i="11" s="1"/>
  <c r="H24" i="11"/>
  <c r="I24" i="11" s="1"/>
  <c r="H25" i="11"/>
  <c r="I25" i="11" s="1"/>
  <c r="H26" i="11"/>
  <c r="I26" i="11" s="1"/>
  <c r="H27" i="11"/>
  <c r="I27" i="11" s="1"/>
  <c r="H28" i="11"/>
  <c r="I28" i="11" s="1"/>
  <c r="H29" i="11"/>
  <c r="I29" i="11" s="1"/>
  <c r="H30" i="11"/>
  <c r="I30" i="11" s="1"/>
  <c r="H31" i="11"/>
  <c r="I31" i="11" s="1"/>
  <c r="H32" i="11"/>
  <c r="I32" i="11" s="1"/>
  <c r="H33" i="11"/>
  <c r="I33" i="11" s="1"/>
  <c r="H34" i="11"/>
  <c r="I34" i="11" s="1"/>
  <c r="H35" i="11"/>
  <c r="I35" i="11" s="1"/>
  <c r="H36" i="11"/>
  <c r="I36" i="11" s="1"/>
  <c r="H37" i="11"/>
  <c r="I37" i="11" s="1"/>
  <c r="H38" i="11"/>
  <c r="I38" i="11" s="1"/>
  <c r="H39" i="11"/>
  <c r="I39" i="11" s="1"/>
  <c r="H40" i="11"/>
  <c r="I40" i="11" s="1"/>
  <c r="H41" i="11"/>
  <c r="I41" i="11" s="1"/>
  <c r="H42" i="11"/>
  <c r="I42" i="11" s="1"/>
  <c r="H43" i="11"/>
  <c r="I43" i="11" s="1"/>
  <c r="H44" i="11"/>
  <c r="I44" i="11" s="1"/>
  <c r="H45" i="11"/>
  <c r="I45" i="11" s="1"/>
  <c r="H46" i="11"/>
  <c r="I46" i="11" s="1"/>
  <c r="H47" i="11"/>
  <c r="I47" i="11" s="1"/>
  <c r="H48" i="11"/>
  <c r="I48" i="11" s="1"/>
  <c r="H49" i="11"/>
  <c r="I49" i="11" s="1"/>
  <c r="H50" i="11"/>
  <c r="I50" i="11" s="1"/>
  <c r="H51" i="11"/>
  <c r="I51" i="11" s="1"/>
  <c r="H52" i="11"/>
  <c r="I52" i="11" s="1"/>
  <c r="H53" i="11"/>
  <c r="I53" i="11" s="1"/>
  <c r="H54" i="11"/>
  <c r="I54" i="11" s="1"/>
  <c r="H55" i="11"/>
  <c r="I55" i="11" s="1"/>
  <c r="H56" i="11"/>
  <c r="I56" i="11" s="1"/>
  <c r="H57" i="11"/>
  <c r="I57" i="11" s="1"/>
  <c r="H58" i="11"/>
  <c r="I58" i="11" s="1"/>
  <c r="H59" i="11"/>
  <c r="I59" i="11" s="1"/>
  <c r="H60" i="11"/>
  <c r="I60" i="11" s="1"/>
  <c r="H61" i="11"/>
  <c r="I61" i="11" s="1"/>
  <c r="H62" i="11"/>
  <c r="I62" i="11" s="1"/>
  <c r="H63" i="11"/>
  <c r="I63" i="11" s="1"/>
  <c r="H64" i="11"/>
  <c r="I64" i="11" s="1"/>
  <c r="H65" i="11"/>
  <c r="I65" i="11" s="1"/>
  <c r="H66" i="11"/>
  <c r="I66" i="11" s="1"/>
  <c r="H67" i="11"/>
  <c r="I67" i="11" s="1"/>
  <c r="H68" i="11"/>
  <c r="I68" i="11" s="1"/>
  <c r="H69" i="11"/>
  <c r="I69" i="11" s="1"/>
  <c r="H70" i="11"/>
  <c r="I70" i="11" s="1"/>
  <c r="H71" i="11"/>
  <c r="I71" i="11" s="1"/>
  <c r="H72" i="11"/>
  <c r="I72" i="11" s="1"/>
  <c r="H73" i="11"/>
  <c r="I73" i="11" s="1"/>
  <c r="H74" i="11"/>
  <c r="I74" i="11" s="1"/>
  <c r="H75" i="11"/>
  <c r="I75" i="11" s="1"/>
  <c r="H76" i="11"/>
  <c r="I76" i="11" s="1"/>
  <c r="H77" i="11"/>
  <c r="I77" i="11" s="1"/>
  <c r="H78" i="11"/>
  <c r="I78" i="11" s="1"/>
  <c r="H79" i="11"/>
  <c r="I79" i="11" s="1"/>
  <c r="H80" i="11"/>
  <c r="I80" i="11" s="1"/>
  <c r="H81" i="11"/>
  <c r="I81" i="11" s="1"/>
  <c r="H82" i="11"/>
  <c r="I82" i="11" s="1"/>
  <c r="H83" i="11"/>
  <c r="I83" i="11" s="1"/>
  <c r="H84" i="11"/>
  <c r="I84" i="11" s="1"/>
  <c r="H85" i="11"/>
  <c r="I85" i="11" s="1"/>
  <c r="H86" i="11"/>
  <c r="I86" i="11" s="1"/>
  <c r="H87" i="11"/>
  <c r="I87" i="11" s="1"/>
  <c r="H88" i="11"/>
  <c r="I88" i="11" s="1"/>
  <c r="H89" i="11"/>
  <c r="I89" i="11" s="1"/>
  <c r="H90" i="11"/>
  <c r="I90" i="11" s="1"/>
  <c r="H91" i="11"/>
  <c r="I91" i="11" s="1"/>
  <c r="H92" i="11"/>
  <c r="I92" i="11" s="1"/>
  <c r="H93" i="11"/>
  <c r="I93" i="11" s="1"/>
  <c r="H94" i="11"/>
  <c r="I94" i="11" s="1"/>
  <c r="H95" i="11"/>
  <c r="I95" i="11" s="1"/>
  <c r="H96" i="11"/>
  <c r="I96" i="11" s="1"/>
  <c r="H97" i="11"/>
  <c r="I97" i="11" s="1"/>
  <c r="H98" i="11"/>
  <c r="I98" i="11" s="1"/>
  <c r="H99" i="11"/>
  <c r="I99" i="11" s="1"/>
  <c r="H100" i="11"/>
  <c r="I100" i="11" s="1"/>
  <c r="H101" i="11"/>
  <c r="I101" i="11" s="1"/>
  <c r="H102" i="11"/>
  <c r="I102" i="11" s="1"/>
  <c r="H103" i="11"/>
  <c r="I103" i="11" s="1"/>
  <c r="H104" i="11"/>
  <c r="I104" i="11" s="1"/>
  <c r="H105" i="11"/>
  <c r="I105" i="11" s="1"/>
  <c r="H106" i="11"/>
  <c r="I106" i="11" s="1"/>
  <c r="H107" i="11"/>
  <c r="I107" i="11" s="1"/>
  <c r="H108" i="11"/>
  <c r="I108" i="11" s="1"/>
  <c r="H109" i="11"/>
  <c r="I109" i="11" s="1"/>
  <c r="H110" i="11"/>
  <c r="I110" i="11" s="1"/>
  <c r="H111" i="11"/>
  <c r="I111" i="11" s="1"/>
  <c r="H112" i="11"/>
  <c r="I112" i="11" s="1"/>
  <c r="H113" i="11"/>
  <c r="I113" i="11" s="1"/>
  <c r="H114" i="11"/>
  <c r="I114" i="11" s="1"/>
  <c r="H115" i="11"/>
  <c r="I115" i="11" s="1"/>
  <c r="H116" i="11"/>
  <c r="I116" i="11" s="1"/>
  <c r="H117" i="11"/>
  <c r="I117" i="11" s="1"/>
  <c r="H118" i="11"/>
  <c r="I118" i="11" s="1"/>
  <c r="H120" i="11"/>
  <c r="I120" i="11" s="1"/>
  <c r="H121" i="11"/>
  <c r="I121" i="11" s="1"/>
  <c r="H122" i="11"/>
  <c r="I122" i="11" s="1"/>
  <c r="H123" i="11"/>
  <c r="I123" i="11" s="1"/>
  <c r="H124" i="11"/>
  <c r="I124" i="11" s="1"/>
  <c r="H125" i="11"/>
  <c r="I125" i="11" s="1"/>
  <c r="H126" i="11"/>
  <c r="I126" i="11" s="1"/>
  <c r="H127" i="11"/>
  <c r="I127" i="11" s="1"/>
  <c r="H128" i="11"/>
  <c r="I128" i="11" s="1"/>
  <c r="H129" i="11"/>
  <c r="I129" i="11" s="1"/>
  <c r="H130" i="11"/>
  <c r="I130" i="11" s="1"/>
  <c r="H2" i="11"/>
  <c r="B128" i="11"/>
  <c r="K116" i="11" l="1"/>
  <c r="L116" i="11" s="1"/>
  <c r="K100" i="11"/>
  <c r="L100" i="11" s="1"/>
  <c r="K2" i="11"/>
  <c r="L2" i="11" s="1"/>
  <c r="K119" i="11"/>
  <c r="L119" i="11" s="1"/>
  <c r="K111" i="11"/>
  <c r="L111" i="11" s="1"/>
  <c r="K103" i="11"/>
  <c r="L103" i="11" s="1"/>
  <c r="K95" i="11"/>
  <c r="L95" i="11" s="1"/>
  <c r="K87" i="11"/>
  <c r="L87" i="11" s="1"/>
  <c r="K79" i="11"/>
  <c r="L79" i="11" s="1"/>
  <c r="K71" i="11"/>
  <c r="L71" i="11" s="1"/>
  <c r="K63" i="11"/>
  <c r="L63" i="11" s="1"/>
  <c r="K55" i="11"/>
  <c r="L55" i="11" s="1"/>
  <c r="K47" i="11"/>
  <c r="L47" i="11" s="1"/>
  <c r="K39" i="11"/>
  <c r="L39" i="11" s="1"/>
  <c r="K31" i="11"/>
  <c r="L31" i="11" s="1"/>
  <c r="K23" i="11"/>
  <c r="L23" i="11" s="1"/>
  <c r="K92" i="11"/>
  <c r="L92" i="11" s="1"/>
  <c r="K127" i="11"/>
  <c r="L127" i="11" s="1"/>
  <c r="K124" i="11"/>
  <c r="L124" i="11" s="1"/>
  <c r="K15" i="11"/>
  <c r="L15" i="11" s="1"/>
  <c r="K128" i="11"/>
  <c r="L128" i="11" s="1"/>
  <c r="K120" i="11"/>
  <c r="L120" i="11" s="1"/>
  <c r="K112" i="11"/>
  <c r="L112" i="11" s="1"/>
  <c r="K104" i="11"/>
  <c r="L104" i="11" s="1"/>
  <c r="K96" i="11"/>
  <c r="L96" i="11" s="1"/>
  <c r="K88" i="11"/>
  <c r="L88" i="11" s="1"/>
  <c r="K80" i="11"/>
  <c r="L80" i="11" s="1"/>
  <c r="K72" i="11"/>
  <c r="L72" i="11" s="1"/>
  <c r="K64" i="11"/>
  <c r="L64" i="11" s="1"/>
  <c r="K56" i="11"/>
  <c r="L56" i="11" s="1"/>
  <c r="K48" i="11"/>
  <c r="L48" i="11" s="1"/>
  <c r="K40" i="11"/>
  <c r="L40" i="11" s="1"/>
  <c r="K32" i="11"/>
  <c r="L32" i="11" s="1"/>
  <c r="K24" i="11"/>
  <c r="L24" i="11" s="1"/>
  <c r="K16" i="11"/>
  <c r="L16" i="11" s="1"/>
  <c r="K108" i="11"/>
  <c r="L108" i="11" s="1"/>
  <c r="K76" i="11"/>
  <c r="L76" i="11" s="1"/>
  <c r="K68" i="11"/>
  <c r="L68" i="11" s="1"/>
  <c r="K60" i="11"/>
  <c r="L60" i="11" s="1"/>
  <c r="K52" i="11"/>
  <c r="L52" i="11" s="1"/>
  <c r="K44" i="11"/>
  <c r="L44" i="11" s="1"/>
  <c r="K36" i="11"/>
  <c r="L36" i="11" s="1"/>
  <c r="K28" i="11"/>
  <c r="L28" i="11" s="1"/>
  <c r="K20" i="11"/>
  <c r="L20" i="11" s="1"/>
  <c r="K12" i="11"/>
  <c r="L12" i="11" s="1"/>
  <c r="K123" i="11"/>
  <c r="L123" i="11" s="1"/>
  <c r="K115" i="11"/>
  <c r="L115" i="11" s="1"/>
  <c r="K107" i="11"/>
  <c r="L107" i="11" s="1"/>
  <c r="K99" i="11"/>
  <c r="L99" i="11" s="1"/>
  <c r="K91" i="11"/>
  <c r="L91" i="11" s="1"/>
  <c r="K83" i="11"/>
  <c r="L83" i="11" s="1"/>
  <c r="K75" i="11"/>
  <c r="L75" i="11" s="1"/>
  <c r="K67" i="11"/>
  <c r="L67" i="11" s="1"/>
  <c r="K59" i="11"/>
  <c r="L59" i="11" s="1"/>
  <c r="K51" i="11"/>
  <c r="L51" i="11" s="1"/>
  <c r="K43" i="11"/>
  <c r="L43" i="11" s="1"/>
  <c r="K35" i="11"/>
  <c r="L35" i="11" s="1"/>
  <c r="K27" i="11"/>
  <c r="L27" i="11" s="1"/>
  <c r="K19" i="11"/>
  <c r="L19" i="11" s="1"/>
  <c r="K11" i="11"/>
  <c r="L11" i="11" s="1"/>
  <c r="K129" i="11"/>
  <c r="L129" i="11" s="1"/>
  <c r="K121" i="11"/>
  <c r="L121" i="11" s="1"/>
  <c r="K113" i="11"/>
  <c r="L113" i="11" s="1"/>
  <c r="K105" i="11"/>
  <c r="L105" i="11" s="1"/>
  <c r="K97" i="11"/>
  <c r="L97" i="11" s="1"/>
  <c r="K89" i="11"/>
  <c r="L89" i="11" s="1"/>
  <c r="K81" i="11"/>
  <c r="L81" i="11" s="1"/>
  <c r="K73" i="11"/>
  <c r="L73" i="11" s="1"/>
  <c r="K65" i="11"/>
  <c r="L65" i="11" s="1"/>
  <c r="K57" i="11"/>
  <c r="L57" i="11" s="1"/>
  <c r="K49" i="11"/>
  <c r="L49" i="11" s="1"/>
  <c r="K41" i="11"/>
  <c r="L41" i="11" s="1"/>
  <c r="K33" i="11"/>
  <c r="L33" i="11" s="1"/>
  <c r="K25" i="11"/>
  <c r="L25" i="11" s="1"/>
  <c r="K17" i="11"/>
  <c r="L17" i="11" s="1"/>
  <c r="K9" i="11"/>
  <c r="L9" i="11" s="1"/>
  <c r="K8" i="11"/>
  <c r="L8" i="11" s="1"/>
  <c r="K7" i="11"/>
  <c r="L7" i="11" s="1"/>
  <c r="K126" i="11"/>
  <c r="L126" i="11" s="1"/>
  <c r="K118" i="11"/>
  <c r="L118" i="11" s="1"/>
  <c r="K110" i="11"/>
  <c r="L110" i="11" s="1"/>
  <c r="K102" i="11"/>
  <c r="L102" i="11" s="1"/>
  <c r="K94" i="11"/>
  <c r="L94" i="11" s="1"/>
  <c r="K86" i="11"/>
  <c r="L86" i="11" s="1"/>
  <c r="K78" i="11"/>
  <c r="L78" i="11" s="1"/>
  <c r="K70" i="11"/>
  <c r="L70" i="11" s="1"/>
  <c r="K62" i="11"/>
  <c r="L62" i="11" s="1"/>
  <c r="K54" i="11"/>
  <c r="L54" i="11" s="1"/>
  <c r="K46" i="11"/>
  <c r="L46" i="11" s="1"/>
  <c r="K38" i="11"/>
  <c r="L38" i="11" s="1"/>
  <c r="K30" i="11"/>
  <c r="L30" i="11" s="1"/>
  <c r="K22" i="11"/>
  <c r="L22" i="11" s="1"/>
  <c r="K14" i="11"/>
  <c r="L14" i="11" s="1"/>
  <c r="K6" i="11"/>
  <c r="L6" i="11" s="1"/>
  <c r="K125" i="11"/>
  <c r="L125" i="11" s="1"/>
  <c r="K117" i="11"/>
  <c r="L117" i="11" s="1"/>
  <c r="K109" i="11"/>
  <c r="L109" i="11" s="1"/>
  <c r="K101" i="11"/>
  <c r="L101" i="11" s="1"/>
  <c r="K93" i="11"/>
  <c r="L93" i="11" s="1"/>
  <c r="K85" i="11"/>
  <c r="L85" i="11" s="1"/>
  <c r="K77" i="11"/>
  <c r="L77" i="11" s="1"/>
  <c r="K69" i="11"/>
  <c r="L69" i="11" s="1"/>
  <c r="K61" i="11"/>
  <c r="L61" i="11" s="1"/>
  <c r="K53" i="11"/>
  <c r="L53" i="11" s="1"/>
  <c r="K45" i="11"/>
  <c r="L45" i="11" s="1"/>
  <c r="K37" i="11"/>
  <c r="L37" i="11" s="1"/>
  <c r="K29" i="11"/>
  <c r="L29" i="11" s="1"/>
  <c r="K21" i="11"/>
  <c r="L21" i="11" s="1"/>
  <c r="K13" i="11"/>
  <c r="L13" i="11" s="1"/>
  <c r="K5" i="11"/>
  <c r="L5" i="11" s="1"/>
  <c r="K4" i="11"/>
  <c r="L4" i="11" s="1"/>
  <c r="K3" i="11"/>
  <c r="L3" i="11" s="1"/>
  <c r="K84" i="11"/>
  <c r="L84" i="11" s="1"/>
  <c r="K130" i="11"/>
  <c r="L130" i="11" s="1"/>
  <c r="K122" i="11"/>
  <c r="L122" i="11" s="1"/>
  <c r="K114" i="11"/>
  <c r="L114" i="11" s="1"/>
  <c r="K106" i="11"/>
  <c r="L106" i="11" s="1"/>
  <c r="K98" i="11"/>
  <c r="L98" i="11" s="1"/>
  <c r="K90" i="11"/>
  <c r="L90" i="11" s="1"/>
  <c r="K82" i="11"/>
  <c r="L82" i="11" s="1"/>
  <c r="K74" i="11"/>
  <c r="L74" i="11" s="1"/>
  <c r="K66" i="11"/>
  <c r="L66" i="11" s="1"/>
  <c r="K58" i="11"/>
  <c r="L58" i="11" s="1"/>
  <c r="K50" i="11"/>
  <c r="L50" i="11" s="1"/>
  <c r="K42" i="11"/>
  <c r="L42" i="11" s="1"/>
  <c r="K34" i="11"/>
  <c r="L34" i="11" s="1"/>
  <c r="K26" i="11"/>
  <c r="L26" i="11" s="1"/>
  <c r="K18" i="11"/>
  <c r="L18" i="11" s="1"/>
  <c r="K10" i="11"/>
  <c r="L10" i="11" s="1"/>
  <c r="L131" i="11" l="1"/>
  <c r="D8" i="8"/>
  <c r="H8" i="8" s="1"/>
  <c r="G27" i="7"/>
  <c r="H27" i="7" s="1"/>
  <c r="D4" i="8"/>
  <c r="H4" i="8" s="1"/>
  <c r="D5" i="8"/>
  <c r="H5" i="8" s="1"/>
  <c r="D6" i="8"/>
  <c r="H6" i="8" s="1"/>
  <c r="D7" i="8"/>
  <c r="H7" i="8" s="1"/>
  <c r="D2" i="8"/>
  <c r="H2" i="8" s="1"/>
  <c r="G26" i="7"/>
  <c r="G25" i="7"/>
  <c r="F14" i="7"/>
  <c r="D26" i="7"/>
  <c r="D25" i="7"/>
  <c r="D24" i="7"/>
  <c r="H24" i="7" s="1"/>
  <c r="I5" i="9"/>
  <c r="I6" i="9"/>
  <c r="E5" i="9"/>
  <c r="E6" i="9"/>
  <c r="E7" i="9"/>
  <c r="I7" i="9" s="1"/>
  <c r="E4" i="9"/>
  <c r="I4" i="9" s="1"/>
  <c r="C5" i="10"/>
  <c r="C4" i="10"/>
  <c r="C3" i="10"/>
  <c r="C2" i="10"/>
  <c r="H26" i="7" l="1"/>
  <c r="H25" i="7"/>
  <c r="D20" i="7"/>
  <c r="C6" i="10" l="1"/>
  <c r="D1" i="10" s="1"/>
  <c r="H20" i="7"/>
  <c r="D21" i="7"/>
  <c r="H21" i="7" s="1"/>
  <c r="D22" i="7"/>
  <c r="H22" i="7" s="1"/>
  <c r="D23" i="7"/>
  <c r="H23" i="7" s="1"/>
  <c r="C14" i="7"/>
  <c r="F16" i="7"/>
  <c r="H16" i="7" s="1"/>
  <c r="F15" i="7"/>
  <c r="H15" i="7" s="1"/>
  <c r="F17" i="7"/>
  <c r="H17" i="7" s="1"/>
  <c r="H14" i="7"/>
  <c r="C3" i="8" l="1"/>
  <c r="D3" i="8" l="1"/>
  <c r="C9" i="8"/>
  <c r="H11" i="7"/>
  <c r="E34" i="7"/>
  <c r="E35" i="7"/>
  <c r="D33" i="7"/>
  <c r="E33" i="7" s="1"/>
  <c r="D31" i="7"/>
  <c r="E31" i="7" s="1"/>
  <c r="F36" i="7" l="1"/>
  <c r="H36" i="7" s="1"/>
  <c r="F32" i="7"/>
  <c r="H32" i="7" s="1"/>
  <c r="H3" i="8"/>
  <c r="H9" i="8" s="1"/>
  <c r="D9" i="8"/>
  <c r="F33" i="7"/>
  <c r="H33" i="7" s="1"/>
  <c r="F31" i="7"/>
  <c r="H31" i="7" s="1"/>
  <c r="F35" i="7"/>
  <c r="H35" i="7" s="1"/>
  <c r="F34" i="7"/>
  <c r="H34" i="7" s="1"/>
  <c r="H12" i="8" l="1"/>
  <c r="H10" i="8"/>
  <c r="G38" i="7" s="1"/>
  <c r="H38" i="7" s="1"/>
  <c r="H41" i="7" s="1"/>
  <c r="C21" i="7"/>
  <c r="C22" i="7"/>
  <c r="C23" i="7"/>
  <c r="C24" i="7"/>
  <c r="C25" i="7"/>
  <c r="C26" i="7"/>
  <c r="C27" i="7"/>
  <c r="C28" i="7"/>
  <c r="C20" i="7"/>
  <c r="C15" i="7" l="1"/>
  <c r="C16" i="7"/>
  <c r="C17" i="7"/>
  <c r="K43" i="2" l="1"/>
  <c r="K42" i="2"/>
  <c r="K41" i="2"/>
  <c r="C153" i="4"/>
  <c r="C103" i="4"/>
  <c r="C81" i="4"/>
  <c r="C69" i="4"/>
  <c r="C43" i="4"/>
  <c r="C20" i="4"/>
  <c r="K39" i="2"/>
  <c r="K38" i="2"/>
  <c r="K1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PTAR SABANA DE OCCIDENTE</author>
  </authors>
  <commentList>
    <comment ref="H1" authorId="0" shapeId="0" xr:uid="{337A7C5C-682E-4436-855F-4186517FFB7D}">
      <text>
        <r>
          <rPr>
            <b/>
            <sz val="9"/>
            <color indexed="81"/>
            <rFont val="Tahoma"/>
            <family val="2"/>
          </rPr>
          <t>PTAR SABANA DE OCCIDENTE:</t>
        </r>
        <r>
          <rPr>
            <sz val="9"/>
            <color indexed="81"/>
            <rFont val="Tahoma"/>
            <family val="2"/>
          </rPr>
          <t xml:space="preserve">
El valor residual es el monto estimado que valdrá un activo al final de su vida útil, es decir, lo que se espera recuperar cuando el equipo ya no sirva para su función principal.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PTAR SABANA DE OCCIDENTE</author>
  </authors>
  <commentList>
    <comment ref="A6" authorId="0" shapeId="0" xr:uid="{1742700C-D9E6-4904-A632-55A3209A2A2D}">
      <text>
        <r>
          <rPr>
            <b/>
            <sz val="9"/>
            <color indexed="81"/>
            <rFont val="Tahoma"/>
            <family val="2"/>
          </rPr>
          <t>PTAR SABANA DE OCCIDENTE:</t>
        </r>
        <r>
          <rPr>
            <sz val="9"/>
            <color indexed="81"/>
            <rFont val="Tahoma"/>
            <family val="2"/>
          </rPr>
          <t xml:space="preserve">
factor de carga del agua
</t>
        </r>
      </text>
    </comment>
  </commentList>
</comments>
</file>

<file path=xl/sharedStrings.xml><?xml version="1.0" encoding="utf-8"?>
<sst xmlns="http://schemas.openxmlformats.org/spreadsheetml/2006/main" count="3794" uniqueCount="2464">
  <si>
    <t>CODIGO</t>
  </si>
  <si>
    <t>NOMBRE DEL PRODUCTO</t>
  </si>
  <si>
    <t>NOMBRE GENERICO</t>
  </si>
  <si>
    <t>UBICACIÓN</t>
  </si>
  <si>
    <t>CANT ADQUIRIDA</t>
  </si>
  <si>
    <t>COD PROVEEDOR</t>
  </si>
  <si>
    <t>NOMBRE PROVEEDOR</t>
  </si>
  <si>
    <t>DIRECCION</t>
  </si>
  <si>
    <t>TELEFONO</t>
  </si>
  <si>
    <t>CELULAR</t>
  </si>
  <si>
    <t>WEB</t>
  </si>
  <si>
    <t>CODIGO MAT</t>
  </si>
  <si>
    <t>PRECIO</t>
  </si>
  <si>
    <t>MEDIO DE TRANSPORTE</t>
  </si>
  <si>
    <t>REABASTECIMIENTO</t>
  </si>
  <si>
    <t>TERMINO DE PAGO</t>
  </si>
  <si>
    <t>SODA EN ESCAMAS</t>
  </si>
  <si>
    <t>HIPOCLORITO DE SODIO</t>
  </si>
  <si>
    <t>ANTIESPUMANTE</t>
  </si>
  <si>
    <t>AGUA DESMINERALIZADA</t>
  </si>
  <si>
    <t>CLORURO FERRICO</t>
  </si>
  <si>
    <t>CIACOMEQ SAS</t>
  </si>
  <si>
    <t>FERGQUIM SAS</t>
  </si>
  <si>
    <t>DISTRIBUIDORA ALIADOS</t>
  </si>
  <si>
    <t>ASERING SAS</t>
  </si>
  <si>
    <t>CASA QUIMICOS SAS</t>
  </si>
  <si>
    <t>PAM ANIONICO</t>
  </si>
  <si>
    <t>A00000001</t>
  </si>
  <si>
    <t>A00000002</t>
  </si>
  <si>
    <t>A00000003</t>
  </si>
  <si>
    <t>A00000004</t>
  </si>
  <si>
    <t>A00000005</t>
  </si>
  <si>
    <t>A00000006</t>
  </si>
  <si>
    <t>A00000007</t>
  </si>
  <si>
    <t>A00000008</t>
  </si>
  <si>
    <t>A00000009</t>
  </si>
  <si>
    <t>A00000010</t>
  </si>
  <si>
    <t>A00000011</t>
  </si>
  <si>
    <t>A00000012</t>
  </si>
  <si>
    <t>A00000013</t>
  </si>
  <si>
    <t>MACRO QUIMICA LTDA</t>
  </si>
  <si>
    <t>MAR QUIMICOS SAS</t>
  </si>
  <si>
    <t>ANTRACITA</t>
  </si>
  <si>
    <t>CARBON ACTIVADO</t>
  </si>
  <si>
    <t>ANTRACITAS DE CUNDINAMARCA</t>
  </si>
  <si>
    <t>LECHO FILTRANTE GRAVA 1/2"</t>
  </si>
  <si>
    <t>LECHO FILTRANTE GRAVA 1/4"</t>
  </si>
  <si>
    <t>LECHO FILTRANTE GRAVA 1/8"</t>
  </si>
  <si>
    <t>LECHO FILTRANTE ARENA 20-30</t>
  </si>
  <si>
    <t>LECHO FILTRANTE ANTRACITA</t>
  </si>
  <si>
    <t>LECHO FILTRANTE CARBON ACTIVADO</t>
  </si>
  <si>
    <t>VIALES DQO BAJO</t>
  </si>
  <si>
    <t>VIALES DQO MEDIO</t>
  </si>
  <si>
    <t>VIALES DQO ALTO</t>
  </si>
  <si>
    <t>TEST KIT CLORUROS - HI3815</t>
  </si>
  <si>
    <t>CUBETA TEST DQO X 25 - RANGO ALTO (0 -15000 mg/l) - HI93754C-25</t>
  </si>
  <si>
    <t>CUBETA TEST DQO X 25 - RANGO MEDIO (0 -1500 mg/l) - HI93754B-25</t>
  </si>
  <si>
    <t>CUBETA TEST DQO X 25 - RANGO BAJO (0 -150 mg/l) - HI93754A-25</t>
  </si>
  <si>
    <t>REACTIVO COBRE RANGO ALTO - HI93702-01</t>
  </si>
  <si>
    <t>REACTIVO HIERRO RANGO ALTO - HI93721-01</t>
  </si>
  <si>
    <t>REACTIVO CLORO TOTAL - HI93711-01</t>
  </si>
  <si>
    <t>REACTIVO CROMO 6 RANGO ALTO - HI93723-01</t>
  </si>
  <si>
    <t>REACTIVO SULFATO - HI93751-01</t>
  </si>
  <si>
    <t>REACTIVO CLORO LIBRE - HI93701-01</t>
  </si>
  <si>
    <t>REACTIVO NIQUEL RANGO ALTO - HI93726-01</t>
  </si>
  <si>
    <t>TEST KIT FENOL - HI3864</t>
  </si>
  <si>
    <t>REACTIVO ZINC - HI93731</t>
  </si>
  <si>
    <t>REACTIVO FLUORUROS - HI93729-01</t>
  </si>
  <si>
    <t>REACTIVO PLATA - HI93737-01</t>
  </si>
  <si>
    <t>SOLUCION BUFFER PH 7.01 - HI7007L/C</t>
  </si>
  <si>
    <t>SOLUCION BUFFER PH 4.01 - HI7004L/C</t>
  </si>
  <si>
    <t>SOLUCION BUFFER PH 10.01 - HI7010L/C</t>
  </si>
  <si>
    <t>ESTANDAR DE CONDUCTIVIDAD 1413 MS/CM - HI7031L/C</t>
  </si>
  <si>
    <t>SOLUCION LIMPIEZA DE ELECTRODOS - HI70670L</t>
  </si>
  <si>
    <t>TEST CLORUROS</t>
  </si>
  <si>
    <t>REACTIVO SULFATO</t>
  </si>
  <si>
    <t>TEST FENOL</t>
  </si>
  <si>
    <t>REACTIVO ZINC</t>
  </si>
  <si>
    <t>REACTIVO FLUORUROS</t>
  </si>
  <si>
    <t>REACTIVO PLATA</t>
  </si>
  <si>
    <t>REACTIVO COBRE</t>
  </si>
  <si>
    <t>REACTIVO HIERRO</t>
  </si>
  <si>
    <t>REACTIVO NIQUEL</t>
  </si>
  <si>
    <t>REACTIVO CLORO LIBRE</t>
  </si>
  <si>
    <t>REACTIVO CROMO</t>
  </si>
  <si>
    <t>REACTIVO CLORO TOTAL</t>
  </si>
  <si>
    <t>BUFFER 7</t>
  </si>
  <si>
    <t>BUFFER 4</t>
  </si>
  <si>
    <t>BUFFER 10</t>
  </si>
  <si>
    <t>BUFFER CONDUCTIVIDAD</t>
  </si>
  <si>
    <t>SOLUCION DE LIMPIEZA ELECTRODOS</t>
  </si>
  <si>
    <t>HANNA INSTRUMENTS COLOMBIA</t>
  </si>
  <si>
    <t>A00000014</t>
  </si>
  <si>
    <t>A00000015</t>
  </si>
  <si>
    <t>A00000016</t>
  </si>
  <si>
    <t>A00000017</t>
  </si>
  <si>
    <t>A00000018</t>
  </si>
  <si>
    <t>A00000019</t>
  </si>
  <si>
    <t>A00000020</t>
  </si>
  <si>
    <t>A00000021</t>
  </si>
  <si>
    <t>A00000022</t>
  </si>
  <si>
    <t>A00000023</t>
  </si>
  <si>
    <t>A00000024</t>
  </si>
  <si>
    <t>A00000025</t>
  </si>
  <si>
    <t>A00000026</t>
  </si>
  <si>
    <t>A00000027</t>
  </si>
  <si>
    <t>A00000028</t>
  </si>
  <si>
    <t>A00000029</t>
  </si>
  <si>
    <t>A00000030</t>
  </si>
  <si>
    <t>A00000031</t>
  </si>
  <si>
    <t>A00000032</t>
  </si>
  <si>
    <t>A00000033</t>
  </si>
  <si>
    <t>A00000034</t>
  </si>
  <si>
    <t>A00000035</t>
  </si>
  <si>
    <t>A00000036</t>
  </si>
  <si>
    <t>A00000037</t>
  </si>
  <si>
    <t>A00000038</t>
  </si>
  <si>
    <t>A00000039</t>
  </si>
  <si>
    <t>PROQUIMICAS JG</t>
  </si>
  <si>
    <t>HIPOCLORITO DE SODIO LIQUIDO_TAMBOR X 250KG - 15%</t>
  </si>
  <si>
    <t xml:space="preserve">HIDROXIDO DE SODIO EN ESCAMAS_SACO X 25KG - 99% </t>
  </si>
  <si>
    <t>CLORURO FERRICO LIQUIDO_TAMBOR X 250KG  - 42%</t>
  </si>
  <si>
    <t>POLIMERO ANIONICO SOLIDO_ASPRE FLOC AN 315_BOLSA X 1KG - 99%</t>
  </si>
  <si>
    <t>CLORURO FERRICO LIQUIDO_GARRAFA X 30KG  - 42%</t>
  </si>
  <si>
    <t>PEROXIDO DE HIDROGENO LIQUIDO_GARRAFA X 30KG - 50%</t>
  </si>
  <si>
    <t>PEROXIDO</t>
  </si>
  <si>
    <t>ACIDO CITRICO</t>
  </si>
  <si>
    <t>A00000040</t>
  </si>
  <si>
    <t>A00000041</t>
  </si>
  <si>
    <t>GRAVA GRUESA</t>
  </si>
  <si>
    <t>GRAVA MEDIA</t>
  </si>
  <si>
    <t>GRAVA FINA</t>
  </si>
  <si>
    <t xml:space="preserve">ARENA </t>
  </si>
  <si>
    <t>BODEGA PTARND</t>
  </si>
  <si>
    <t>PLANTA PTARND</t>
  </si>
  <si>
    <t>LABORATORIO PTARND</t>
  </si>
  <si>
    <t>N/A</t>
  </si>
  <si>
    <t>TOTAL INVENT</t>
  </si>
  <si>
    <t>LAMINAS DE HIERRO</t>
  </si>
  <si>
    <t>FERRETERIA RAPICORTES SAS</t>
  </si>
  <si>
    <t>CONTACTO</t>
  </si>
  <si>
    <t>CAROLINA CASTRO</t>
  </si>
  <si>
    <t>CARRERA 63 N 5A-85 BARRIO PRADERA - BOGOTA DC</t>
  </si>
  <si>
    <t>601 290 0093</t>
  </si>
  <si>
    <t>317 4250689</t>
  </si>
  <si>
    <t>Inicio - CIACOMEQ SAS</t>
  </si>
  <si>
    <t>KG</t>
  </si>
  <si>
    <t>LEAD TIME DIAS</t>
  </si>
  <si>
    <t>FURGON</t>
  </si>
  <si>
    <t>servicioalcliente@ciacomeq.com</t>
  </si>
  <si>
    <t>CORREO</t>
  </si>
  <si>
    <t>CONTADO</t>
  </si>
  <si>
    <t>TANIA RODRIGUEZ</t>
  </si>
  <si>
    <t>601 414 1420</t>
  </si>
  <si>
    <t>Ventas@distribuidoraaliados.com</t>
  </si>
  <si>
    <t>ANDRES MELDIVELSO</t>
  </si>
  <si>
    <t>PARQUE EMPRESARIAL DE OCCIDENTE, BODEGA 81</t>
  </si>
  <si>
    <t>comercial3@quimicosfergquim.com</t>
  </si>
  <si>
    <t>P0001</t>
  </si>
  <si>
    <t>P0002</t>
  </si>
  <si>
    <t>P0003</t>
  </si>
  <si>
    <t>P0004</t>
  </si>
  <si>
    <t>P0005</t>
  </si>
  <si>
    <t>P0006</t>
  </si>
  <si>
    <t>P0007</t>
  </si>
  <si>
    <t>P0008</t>
  </si>
  <si>
    <t>HIPOCLORITO DE SODIO LIQUIDO_GARRAFA X 24KG - 15%</t>
  </si>
  <si>
    <t>AGUA DESMINERALIZADA_GARRAFA X 20L</t>
  </si>
  <si>
    <t>SILICONA ANTIESPUMANTE LIQUIDO_GARRAFA X 20L</t>
  </si>
  <si>
    <t>TRANSVERSAL 93 N 53-32_ENGATIVA_BOGOTA DC</t>
  </si>
  <si>
    <t>Nosotros | Distribuidora Aliados - 35 años de experiencia en productos químicos</t>
  </si>
  <si>
    <t>Inicio - FergQuim</t>
  </si>
  <si>
    <t>UNIDAD DE MEDIDA</t>
  </si>
  <si>
    <t>L</t>
  </si>
  <si>
    <t>UND</t>
  </si>
  <si>
    <t>ML</t>
  </si>
  <si>
    <t>601 8269712</t>
  </si>
  <si>
    <t xml:space="preserve">HIDROXIDO DE SODIO LIQUIDA_TAMBOR X 250KG - 50% </t>
  </si>
  <si>
    <t>SODA LIQUIDA</t>
  </si>
  <si>
    <t>ACIDO CITRICO SOLIDO_BOLSA X 1KG - 99%</t>
  </si>
  <si>
    <t>MANGAS DE MICROFILTRACION FSI_100 MICRAS</t>
  </si>
  <si>
    <t>DISCOS DE FILTRACION_200 MICRAS</t>
  </si>
  <si>
    <t>FILTRO MICROFILTRACION SWC-45-2025_50 MICRAS_</t>
  </si>
  <si>
    <t>MANGAS DE UF</t>
  </si>
  <si>
    <t>DISCOS DE FILTRACION</t>
  </si>
  <si>
    <t>FILTRO DE PTAP</t>
  </si>
  <si>
    <t>ALMACEN PTARND</t>
  </si>
  <si>
    <t>Calle 73 # 20- 89 - BOGOTA DC</t>
  </si>
  <si>
    <t>Asering SAS | Asering S.A.S</t>
  </si>
  <si>
    <t>PROQUIMICAS</t>
  </si>
  <si>
    <t>ALEJANDRO SARMIENTO</t>
  </si>
  <si>
    <t>comercialaseringsas.co</t>
  </si>
  <si>
    <t>DANIELA CASTRO</t>
  </si>
  <si>
    <t>KM 2 VIA FUNZA SIBERIA – PARQUE INDUSTRIAL EL TREBOL</t>
  </si>
  <si>
    <t>CALLE 72 A N° 20 A - 15 3ER PSIO</t>
  </si>
  <si>
    <t>MARTHA HURTADO</t>
  </si>
  <si>
    <t>macroquimicaltda@hotmail.com</t>
  </si>
  <si>
    <t>MIGUEL RAMIREZ</t>
  </si>
  <si>
    <t>CR 69C N.31- 22 SUR – BARRIO CARVAJAL</t>
  </si>
  <si>
    <t>CALLE 73 # 20-51</t>
  </si>
  <si>
    <t>VENTAS@CASAQUIMICOS.COM</t>
  </si>
  <si>
    <t>P0009</t>
  </si>
  <si>
    <t> Carrera 98 # 25G-10 Bodega 9, Bogotá</t>
  </si>
  <si>
    <t>LUISA SUAREZ</t>
  </si>
  <si>
    <t>luisahannacolombia.com</t>
  </si>
  <si>
    <t>Instrumentación Analítica | HANNA Instruments Colombia</t>
  </si>
  <si>
    <t>HANNACOLOMBIA  INSTRUMENTS</t>
  </si>
  <si>
    <t>gerencia@mqrsas.com</t>
  </si>
  <si>
    <t>UNIDAD MEDIDA</t>
  </si>
  <si>
    <t>UNIDAD DE COMPRA</t>
  </si>
  <si>
    <t>UNIDAD MIN DE COMPRA</t>
  </si>
  <si>
    <t>TIEMPO DE CREDITO DIAS</t>
  </si>
  <si>
    <t>CREDITO</t>
  </si>
  <si>
    <t>PROVEEDOR PRINCIPAL</t>
  </si>
  <si>
    <t>PROVEEDOR SUPLENTE</t>
  </si>
  <si>
    <t>PROVEEDOR 3</t>
  </si>
  <si>
    <t>PROVEEDOR 4</t>
  </si>
  <si>
    <t>ITEM</t>
  </si>
  <si>
    <t>CANTIDAD</t>
  </si>
  <si>
    <t>Tuerca hexagonal 5/16"</t>
  </si>
  <si>
    <t>Tuerca de acero inox 3/8"</t>
  </si>
  <si>
    <t>Tuerca de seguridad 1/4"</t>
  </si>
  <si>
    <t>Tuerca de seguridad zincada 3/8"</t>
  </si>
  <si>
    <t>Tuerca mariposa 3/8"</t>
  </si>
  <si>
    <t>Tuerca de acero inox 1 1/2"</t>
  </si>
  <si>
    <t>Tuerca mariposa 1/4"</t>
  </si>
  <si>
    <t>Tuerca mariposa 1/2"</t>
  </si>
  <si>
    <t>Tornillo hexagonal 1/4" x 3/4"</t>
  </si>
  <si>
    <t>Tornillo cabeza redonda 1/4"</t>
  </si>
  <si>
    <t>Tornillo hexagonal 3/8" x 1 1/4"</t>
  </si>
  <si>
    <t>Tornillo cabeza de gota 1/4" x 1/2"</t>
  </si>
  <si>
    <t>Tornillo hexagonal 1/2" x 1/4"</t>
  </si>
  <si>
    <t>Tornillo hexagonal 9/16"</t>
  </si>
  <si>
    <t>Tornillo de cabeza hueca hexagonal 3/8"</t>
  </si>
  <si>
    <t>Tornillo pasante 2 1/2" x 1/4"</t>
  </si>
  <si>
    <t>Chazo expansivo de acero 5/16"</t>
  </si>
  <si>
    <t>Chazo expansivo de acero 3/8"</t>
  </si>
  <si>
    <t>Tornillo roscado  5/16" x 3/4"</t>
  </si>
  <si>
    <t>Tornillo roscado 1/2" x 1 1/2"</t>
  </si>
  <si>
    <t>Tornillo expansivo roscado 1/2" x 2 1/2"</t>
  </si>
  <si>
    <t>Tornillo roscado 1/2"  x 2"</t>
  </si>
  <si>
    <t>Tornillo expansivo roscado 1/2" x 2"</t>
  </si>
  <si>
    <t>Tornillo expansivo roscado 1/2" x 3"</t>
  </si>
  <si>
    <t>Tornillo roscado 9/16" x 2"</t>
  </si>
  <si>
    <t>Tornillo hexagonal de rosca 1/2" x 5"</t>
  </si>
  <si>
    <t>Tornillo hexagonal de rosca 1/4" x 4"</t>
  </si>
  <si>
    <t>Tornillo expansivo roscado 3/8" x 2 1/2"</t>
  </si>
  <si>
    <t>Tornillo expansivo roscado 3/8" x 3"</t>
  </si>
  <si>
    <t>Tornillo roscado 1/2" x 2 1/2"</t>
  </si>
  <si>
    <t xml:space="preserve">Tornillo expansivo 5/16" x 5" </t>
  </si>
  <si>
    <t>Tornillo expansivo roscado 1/2" x 3 1/2"</t>
  </si>
  <si>
    <t>Tornillo expansivo roscado 5/16" x 2"</t>
  </si>
  <si>
    <t>Tornillo expansivo roscado 9/16" x 3"</t>
  </si>
  <si>
    <t>Tornillo roscado 1/4" x 1/2"</t>
  </si>
  <si>
    <t xml:space="preserve">Tornillo roscado 3/4" x 2" </t>
  </si>
  <si>
    <t>Tornillo expandible 3/8" x 6"</t>
  </si>
  <si>
    <t>Tornillo expandible 5/8" x 3 1/2"</t>
  </si>
  <si>
    <t xml:space="preserve">Tornillo expandible 3/4" x 3 1/2" </t>
  </si>
  <si>
    <t>Tornillo de acero 5/16" x 3 1/4"</t>
  </si>
  <si>
    <t xml:space="preserve">Tornillo de acero 9/16" x 1 1/4" </t>
  </si>
  <si>
    <t>Tuerca de acero 5/8"</t>
  </si>
  <si>
    <t>Tuerca de seguridad 1/2"</t>
  </si>
  <si>
    <t>Chazo expansivo de acero 1/2" x 2"</t>
  </si>
  <si>
    <t>Chazo expansivo de acero 1/4" x 1"</t>
  </si>
  <si>
    <t>Chazo expansivo de acero 5/16" x 2"</t>
  </si>
  <si>
    <t>Chazo expansivo de acero 5/16" x 1 1/2"</t>
  </si>
  <si>
    <t>Chazo expansivo de acero 1/4" x 1 1/2"</t>
  </si>
  <si>
    <t>Chazo expansivo de acero 1/2" x 4/2"</t>
  </si>
  <si>
    <t>Tuerca de acero inoxidable 3/4"</t>
  </si>
  <si>
    <t>Tuerca de acero inoxidable 9/16"</t>
  </si>
  <si>
    <t>Tornillo de acero inoxidable 5/16" x 2 3/4"</t>
  </si>
  <si>
    <t>Tornillo de acero inoxidable 5/16" x 1 1/2" expansible</t>
  </si>
  <si>
    <t xml:space="preserve">Tornillo de acero inoxidable 1/4" x 1 1/4" </t>
  </si>
  <si>
    <t xml:space="preserve">Tornillo de acero inoxidable 1/4" x 1 1/2" </t>
  </si>
  <si>
    <t xml:space="preserve">Tornillo de acero inoxidable 5/16" x 1 1/2" </t>
  </si>
  <si>
    <t xml:space="preserve">Tornillo de acero inoxidable 1/4" x 2" </t>
  </si>
  <si>
    <t>Tornillo expansivo de acero inoxidable 1/4" x 2 1/2"</t>
  </si>
  <si>
    <t>Tornillo de acero inoxidable 5/16" x 5" expansible</t>
  </si>
  <si>
    <t>Tornillo expandible de acero inoxidable 3/4" x 4"</t>
  </si>
  <si>
    <t>Arandela de presion 1/2"</t>
  </si>
  <si>
    <t>Arandera rectangular de 2 orificios 1/2"</t>
  </si>
  <si>
    <t>Arandela plana 5/16"</t>
  </si>
  <si>
    <t>Arandela de presion 17/32"</t>
  </si>
  <si>
    <t>Arandela de presion 21/32"</t>
  </si>
  <si>
    <t>Arandela de presion 9/16"</t>
  </si>
  <si>
    <t>Arandela de presion 3/8"</t>
  </si>
  <si>
    <t>Arandela de presion 7/16"</t>
  </si>
  <si>
    <t>Arandela plana 11/16"</t>
  </si>
  <si>
    <t>Arandela de presion 11/16"</t>
  </si>
  <si>
    <t>Tornillo expandible 3/8" x 4"</t>
  </si>
  <si>
    <t>Tornillo expandible 1/4" x 3"</t>
  </si>
  <si>
    <t>Anclaje de rosca interna 1/2"</t>
  </si>
  <si>
    <t>Anclaje de rosca interna 3/8"</t>
  </si>
  <si>
    <t>Arandela plana 1/2"</t>
  </si>
  <si>
    <t>Arandela plana 3/4"</t>
  </si>
  <si>
    <t>Arandela plana 5/8"</t>
  </si>
  <si>
    <t>Arandela plana 3/8"</t>
  </si>
  <si>
    <t>Arandela plana 5/8" x 1 3/4"</t>
  </si>
  <si>
    <t>Arandela plana 9/16"</t>
  </si>
  <si>
    <t>Arandela plana 3/4" x 1 3/4"</t>
  </si>
  <si>
    <t>Tornillo expansivo cabeza redonda 5/16" x 2 1/4"</t>
  </si>
  <si>
    <t>Tornillo expansivo 5/16" x 2 3/4"</t>
  </si>
  <si>
    <t>Tornillo expansivo de 5/16" x 2"</t>
  </si>
  <si>
    <t>Tornillo expansivo cabeza redonda 3/4" x 2 1/4"</t>
  </si>
  <si>
    <t>Abrazadera tubular de aluminio 3/16"</t>
  </si>
  <si>
    <t>Tornillos carter 5/16 x 3 1/4"</t>
  </si>
  <si>
    <t>Arandela plana 1/16"</t>
  </si>
  <si>
    <t>Arandela plana 1/8"</t>
  </si>
  <si>
    <t>Arandela plana de 5/16"</t>
  </si>
  <si>
    <t>Arandela plana de 1/4"</t>
  </si>
  <si>
    <t>Arandela de presion 1/4"</t>
  </si>
  <si>
    <t>Tornillo de cabeza hueca 1/16" x 3/4"</t>
  </si>
  <si>
    <t>Tornillo perforante de 1/4"</t>
  </si>
  <si>
    <t>Tornillo 1/4"</t>
  </si>
  <si>
    <t>Tornillo prisionero</t>
  </si>
  <si>
    <t>Tornillo prisionero alle</t>
  </si>
  <si>
    <t>Tuercas pequeñas</t>
  </si>
  <si>
    <t>Tuercas 1/5"</t>
  </si>
  <si>
    <t>Tuercas de seguridad 1/5"</t>
  </si>
  <si>
    <t>Tornillo autoperforante 1" x 1/2"</t>
  </si>
  <si>
    <t>Tornillo autoperforante broca 12 x 1 1/4"</t>
  </si>
  <si>
    <t>Tornillo 1 1/4"</t>
  </si>
  <si>
    <t>Tornillo autoperforante 1/2"</t>
  </si>
  <si>
    <t>Turca de eje</t>
  </si>
  <si>
    <t>Eslabon de cadena pequeña</t>
  </si>
  <si>
    <t>Tornillo de madera aglomerada 8 x 1"</t>
  </si>
  <si>
    <t>Conector en T</t>
  </si>
  <si>
    <t>Chazo puntilla 3/16"</t>
  </si>
  <si>
    <t>Conector recto tipo macho</t>
  </si>
  <si>
    <t>Conectores hembra</t>
  </si>
  <si>
    <t>Abrazadera para cable de acero</t>
  </si>
  <si>
    <t xml:space="preserve">Tapon valvulas </t>
  </si>
  <si>
    <t>Tornillo 1/4" x 2" con tuerca cuadrada</t>
  </si>
  <si>
    <t>Tornillo 3/4"</t>
  </si>
  <si>
    <t>Perno de ojo 1/2"</t>
  </si>
  <si>
    <t>Guardacabo para cable</t>
  </si>
  <si>
    <t>Piñon de 19 dientes</t>
  </si>
  <si>
    <t>Tornillo de 1"</t>
  </si>
  <si>
    <t>Conectores grandes 3/4" y 1/2"</t>
  </si>
  <si>
    <t>Tornillo cabeza redonda 3/4"</t>
  </si>
  <si>
    <t>remache de aluminio</t>
  </si>
  <si>
    <t>Remache redondo de acero</t>
  </si>
  <si>
    <t>Abrazadera de alambre</t>
  </si>
  <si>
    <t>Racores 1 7/8"</t>
  </si>
  <si>
    <t>Angulo metalico pequeño</t>
  </si>
  <si>
    <t>Turbina de instrumentacion</t>
  </si>
  <si>
    <t>Conector de cable</t>
  </si>
  <si>
    <t>Abrazadera de acero inoxidable 3/4"</t>
  </si>
  <si>
    <t>Abrazadera de acero inoxidable 5/8"</t>
  </si>
  <si>
    <t>Pin de acero inoxidable</t>
  </si>
  <si>
    <t>Racores 2"</t>
  </si>
  <si>
    <t>Terminal conector pin rojo</t>
  </si>
  <si>
    <t>Terminal conector horqueta amarillo</t>
  </si>
  <si>
    <t>Terminal conector pin café</t>
  </si>
  <si>
    <t>Marcadores de cables letras x kit</t>
  </si>
  <si>
    <t>marcadores de cables numero x kit</t>
  </si>
  <si>
    <t>Pinzegger</t>
  </si>
  <si>
    <t>Pinzegger tipo RS</t>
  </si>
  <si>
    <t>Cuñas para engrane medianas</t>
  </si>
  <si>
    <t>Cuñas para engrane pequeñas</t>
  </si>
  <si>
    <t>Soporte espaciador plastico</t>
  </si>
  <si>
    <t>Prensa cables pequeño</t>
  </si>
  <si>
    <t>Prensa cables grande</t>
  </si>
  <si>
    <t>Terminal hembra amarillo</t>
  </si>
  <si>
    <t>Terminal hembra azul</t>
  </si>
  <si>
    <t>Terminal conector pin azul</t>
  </si>
  <si>
    <t>Terminal hembra rojo</t>
  </si>
  <si>
    <t>Terminal conector pin rojo rectangular</t>
  </si>
  <si>
    <t>Resistor shunt</t>
  </si>
  <si>
    <t>Tornillo expansivo 5/8" x 3"</t>
  </si>
  <si>
    <t>Tornillo expansivo 5/8" x 4"</t>
  </si>
  <si>
    <t>Tornillo expansivo 5/8" x 5"</t>
  </si>
  <si>
    <t>Tornillo expansivo 5/8" x 6"</t>
  </si>
  <si>
    <t>Tornillo expansivo 5/8" x 8"</t>
  </si>
  <si>
    <t>Esmalte para metales y madera</t>
  </si>
  <si>
    <t>Soldadura PVC</t>
  </si>
  <si>
    <t>Limpiador para tubos y accesorios PVC y CPVC</t>
  </si>
  <si>
    <t>Pintura epoxica para concreto y metal</t>
  </si>
  <si>
    <t>Acondicionador de superficies metalicas</t>
  </si>
  <si>
    <t>Anticorrosivo + esmalte</t>
  </si>
  <si>
    <t>Catalizador para esmalte poliuretano</t>
  </si>
  <si>
    <t>Brillo negro acripol poliuretano</t>
  </si>
  <si>
    <t>Tapagoteras</t>
  </si>
  <si>
    <t>Brida 2" PVC</t>
  </si>
  <si>
    <t>Acople reductor 3" a 4" teflon</t>
  </si>
  <si>
    <t>Acople reductor 3" a 4" CPVC</t>
  </si>
  <si>
    <t>Brida 1 1/2"</t>
  </si>
  <si>
    <t>Brida 6"</t>
  </si>
  <si>
    <t>Brida 4"</t>
  </si>
  <si>
    <t>Brida 3"</t>
  </si>
  <si>
    <t>Brida 2"</t>
  </si>
  <si>
    <t>Adaptador de bomba 2"</t>
  </si>
  <si>
    <t>Union universal de 4"</t>
  </si>
  <si>
    <t>Union universal de 3"</t>
  </si>
  <si>
    <t>Union PVC 6"</t>
  </si>
  <si>
    <t>Union con reduccion PVC 4 1/2" - 4"</t>
  </si>
  <si>
    <t>Union PVC 4"</t>
  </si>
  <si>
    <t>Union PVC 3"</t>
  </si>
  <si>
    <t>Union PVC 2 1/2"</t>
  </si>
  <si>
    <t>Union PVC sanitaria 3"</t>
  </si>
  <si>
    <t>Tee Sanitario de 4"</t>
  </si>
  <si>
    <t>Tee Sanitario de 3"</t>
  </si>
  <si>
    <t>Tee gris 3"</t>
  </si>
  <si>
    <t>Tee PVC 2 1/2"</t>
  </si>
  <si>
    <t>Codo sanitario PVC 4"</t>
  </si>
  <si>
    <t>Codo PVC 4"</t>
  </si>
  <si>
    <t>Semicodo PVC 4"</t>
  </si>
  <si>
    <t>Codo PVC 3"</t>
  </si>
  <si>
    <t>Codo PVC 2 1/2"</t>
  </si>
  <si>
    <t>Union universal 1" roscar</t>
  </si>
  <si>
    <t>Union universal 2 1/2"</t>
  </si>
  <si>
    <t>Union universal 2"</t>
  </si>
  <si>
    <t>Union Universal 1 1/2"</t>
  </si>
  <si>
    <t>Union Universal 1 1/4"</t>
  </si>
  <si>
    <t>Flanche 2"</t>
  </si>
  <si>
    <t>Flanche 1"</t>
  </si>
  <si>
    <t>Flanche 1/2"</t>
  </si>
  <si>
    <t>Codo 1/2"</t>
  </si>
  <si>
    <t>Semicodo 1/2"</t>
  </si>
  <si>
    <t>Semicodo 3/4"</t>
  </si>
  <si>
    <t>Codo 1"</t>
  </si>
  <si>
    <t>Codo 2"</t>
  </si>
  <si>
    <t>Semicodo 2"</t>
  </si>
  <si>
    <t>Codo 1 1/2"</t>
  </si>
  <si>
    <t>Semicodo 1 1/2"</t>
  </si>
  <si>
    <t>Adaptador gris 1"</t>
  </si>
  <si>
    <t>Elevador gris PVC 3/4" x 2"</t>
  </si>
  <si>
    <t>Adaptador terminal 1 1/2"</t>
  </si>
  <si>
    <t>Curva de tuberia PVC 1/2"</t>
  </si>
  <si>
    <t>Adaptador macho PVC 3"</t>
  </si>
  <si>
    <t>Adaptador macho PVC 2 1/2"</t>
  </si>
  <si>
    <t>Adaptador macho PVC 2"</t>
  </si>
  <si>
    <t>Adaptador macho PVC 1 1/2"</t>
  </si>
  <si>
    <t>Adaptador macho PVC 1"</t>
  </si>
  <si>
    <t>Adaptador macho PVC 3/4"</t>
  </si>
  <si>
    <t>Adaptador macho PVC 1/2"</t>
  </si>
  <si>
    <t>Adaptador hembra PVC 4"</t>
  </si>
  <si>
    <t>Adaptador hembra PVC 3"</t>
  </si>
  <si>
    <t>Acople reductor PVC 6" x 4"</t>
  </si>
  <si>
    <t>Codo sanitario 3"</t>
  </si>
  <si>
    <t>Union universal 3/4" roscar</t>
  </si>
  <si>
    <t>Union universal 1/2" soldar</t>
  </si>
  <si>
    <t>Adaptador hembra 1 1/2"</t>
  </si>
  <si>
    <t>Adaptador hembra 1 1/4"</t>
  </si>
  <si>
    <t>Adaptador hembra 1"</t>
  </si>
  <si>
    <t>Adaptador hembra 3/4"</t>
  </si>
  <si>
    <t>Adaptador hembra 3/4" soldar</t>
  </si>
  <si>
    <t>adaptador hembra 1/2"</t>
  </si>
  <si>
    <t>adaptador hembra 1/2" soldar</t>
  </si>
  <si>
    <t>Tee PVC 1/2"</t>
  </si>
  <si>
    <t>Tee PVC 1" x 1 1/4"</t>
  </si>
  <si>
    <t>Tee PVC 1" x 1"</t>
  </si>
  <si>
    <t>Tapa PVC 4"</t>
  </si>
  <si>
    <t>Tapa sanitaria 6"</t>
  </si>
  <si>
    <t>Tapa sanitaria 4"</t>
  </si>
  <si>
    <t>Reductor 4" x 2"</t>
  </si>
  <si>
    <t>Collar PVC 2"</t>
  </si>
  <si>
    <t>Collar PVC 3"</t>
  </si>
  <si>
    <t>Reductor sanitario 4" x 3"</t>
  </si>
  <si>
    <t>Codo sanitario 22</t>
  </si>
  <si>
    <t>Abrazadera plastica 1/2"</t>
  </si>
  <si>
    <t>Union PVC presion 1/2"</t>
  </si>
  <si>
    <t>Tee PVC presion 1/2"</t>
  </si>
  <si>
    <t>Buje CPVC reduccion soldar 3/4" x 1/2"</t>
  </si>
  <si>
    <t>Tapon CPVC 1/2"</t>
  </si>
  <si>
    <t>Union CPVC 1/2"</t>
  </si>
  <si>
    <t>Codo CPVC 1/2"</t>
  </si>
  <si>
    <t>Codo conexión 1/2"</t>
  </si>
  <si>
    <t>Codo conexión 5/16"</t>
  </si>
  <si>
    <t>Tee conexión 1/2"</t>
  </si>
  <si>
    <t>Tee conexión 1/4"</t>
  </si>
  <si>
    <t>Conector cabeza 1/4"</t>
  </si>
  <si>
    <t>Valvula check brass 1/4" M x 1/4" H</t>
  </si>
  <si>
    <t>Cruz de acero inoxidable 1/4"</t>
  </si>
  <si>
    <t>Buje reductor de bronce 1/4" x 1/8"</t>
  </si>
  <si>
    <t>Valvula plastica</t>
  </si>
  <si>
    <t>Buje PVC reduccion roscado 1/2" x 1/4"</t>
  </si>
  <si>
    <t>Union acero inoxidable de 1/4"</t>
  </si>
  <si>
    <t>Tee de acero inoxidable 1/4"</t>
  </si>
  <si>
    <t>Codo calle 1/4" acero inoxidable</t>
  </si>
  <si>
    <t>Acople reductor 4 1/2" a 3 1/2" soldar</t>
  </si>
  <si>
    <t>Acople reductor 4" a 3" roscar</t>
  </si>
  <si>
    <t>Pesa de ceramica</t>
  </si>
  <si>
    <t>Adaptador macho CPVC 1 1/4"</t>
  </si>
  <si>
    <t>Valvula de bola 1 1/2"</t>
  </si>
  <si>
    <t>Tapon liso 1 1/2"</t>
  </si>
  <si>
    <t>Tapon liso 1 1/4"</t>
  </si>
  <si>
    <t>Tapon roscado  1"</t>
  </si>
  <si>
    <t>Tapon liso 3/4"</t>
  </si>
  <si>
    <t>Tapon roscado 2"</t>
  </si>
  <si>
    <t>Tapon roscado 1 1/2"</t>
  </si>
  <si>
    <t>Acople reductor 2" x 1"</t>
  </si>
  <si>
    <t>Acople reductor 1 1/4" x 1"</t>
  </si>
  <si>
    <t>Acople reductor 1 1/4" x 1/2"</t>
  </si>
  <si>
    <t>Acople reductor 1 1/2" x 3/4"</t>
  </si>
  <si>
    <t>Acople reductor 1 1/2" x 1 1/4"</t>
  </si>
  <si>
    <t>Acople reductor 2" x 1/2"</t>
  </si>
  <si>
    <t>Acople reductor 3" x 2"</t>
  </si>
  <si>
    <t>Tapon liso 1/2"</t>
  </si>
  <si>
    <t>Tapon hexagonal liso 1/2"</t>
  </si>
  <si>
    <t>Tapon roscado 1 1/4"</t>
  </si>
  <si>
    <t>Tapon liso sanitario 1 1/2"</t>
  </si>
  <si>
    <t xml:space="preserve">Acople reductor 3/4" x 1/2" </t>
  </si>
  <si>
    <t>Acople roscado 1/2"</t>
  </si>
  <si>
    <t>Acople reductor roscado 1" x  3/4"</t>
  </si>
  <si>
    <t>Flanche de 1"</t>
  </si>
  <si>
    <t>Acople reductor 2" a 1 1/2"</t>
  </si>
  <si>
    <t>Acople reductor 2 1/2" x 1 1/2"</t>
  </si>
  <si>
    <t>Acople reductor 2" x 1/4"</t>
  </si>
  <si>
    <t xml:space="preserve">Acople reductor 1" x 1/2" </t>
  </si>
  <si>
    <t>Acople reductor 1 1/2" x 1/2"</t>
  </si>
  <si>
    <t>Union PVC 1/2"</t>
  </si>
  <si>
    <t>Acople reductor 1/2" x 1/4"</t>
  </si>
  <si>
    <t>Tee sanitaria 1 1/2"</t>
  </si>
  <si>
    <t>Cruz PVC 1/2"</t>
  </si>
  <si>
    <t>Cruz PVC 3/4"</t>
  </si>
  <si>
    <t>Tee PVC 3/4"</t>
  </si>
  <si>
    <t>Tee PVC 1 1/4"</t>
  </si>
  <si>
    <t>Tapon liso 2"</t>
  </si>
  <si>
    <t>Union 1"</t>
  </si>
  <si>
    <t>Union 1 1/4"</t>
  </si>
  <si>
    <t>Acople reductor 3" x 2 1/2"</t>
  </si>
  <si>
    <t>Union sanitaria de 2"</t>
  </si>
  <si>
    <t>Acople reductor sanitaria 3" x  2"</t>
  </si>
  <si>
    <t>Codo sanitario 1 1/2"</t>
  </si>
  <si>
    <t>Semicodo sanitario 1 1/2"</t>
  </si>
  <si>
    <t>Codo reductor 1 1/2"</t>
  </si>
  <si>
    <t>Valvula de bola roscar 1/2"</t>
  </si>
  <si>
    <t>Valvula de bola roscar 2"</t>
  </si>
  <si>
    <t>Valvula de bola soldar 1"</t>
  </si>
  <si>
    <t>Valvula de bola roscar 1 1/4"</t>
  </si>
  <si>
    <t>Valvula de bola soldar 3/4"</t>
  </si>
  <si>
    <t>Valvula de bola soldar 3/4" x 1/2"</t>
  </si>
  <si>
    <t>Valvula de bola roscar 1 /1/2"</t>
  </si>
  <si>
    <t>Valvula de bola soldar 1 1/4"</t>
  </si>
  <si>
    <t>Valvula de bola soldar 2"</t>
  </si>
  <si>
    <t>Valvula de bola soldar 1 1/2"</t>
  </si>
  <si>
    <t>Valvula de bola soldar 3"</t>
  </si>
  <si>
    <t>Valvula de bola roscar 3"</t>
  </si>
  <si>
    <t>Escofina redonda 1/2"</t>
  </si>
  <si>
    <t>Broca redonda dewalt 10"</t>
  </si>
  <si>
    <t>Tijeras multiusos roja/gris</t>
  </si>
  <si>
    <t>Cincel madera</t>
  </si>
  <si>
    <t>Cincel plano</t>
  </si>
  <si>
    <t>Prensa sargento</t>
  </si>
  <si>
    <t>Escofina 1/2 caña mango amarillo</t>
  </si>
  <si>
    <t>Engarzadora</t>
  </si>
  <si>
    <t>Serrucho</t>
  </si>
  <si>
    <t>Alicate de extension</t>
  </si>
  <si>
    <t>Prensa carpintero</t>
  </si>
  <si>
    <t>Alicate amarillo 1/2</t>
  </si>
  <si>
    <t>Hombre Solo</t>
  </si>
  <si>
    <t xml:space="preserve">Pinza perforante </t>
  </si>
  <si>
    <t>Alicate para cable electrico</t>
  </si>
  <si>
    <t>Alicate pequeño de punta redonda</t>
  </si>
  <si>
    <t>Alicate universal</t>
  </si>
  <si>
    <t>Alicate universal de ojo pequeño</t>
  </si>
  <si>
    <t>Alicate de corte terminal pequeño</t>
  </si>
  <si>
    <t>Alicate cortafrio</t>
  </si>
  <si>
    <t>Alicate electricista</t>
  </si>
  <si>
    <t>Alicate punta de aguja</t>
  </si>
  <si>
    <t>Alicate de corte diagonal</t>
  </si>
  <si>
    <t>Alicate de punta larga</t>
  </si>
  <si>
    <t>Alicate de punta fina</t>
  </si>
  <si>
    <t>Pelacable</t>
  </si>
  <si>
    <t>Escofina redonda bastarda</t>
  </si>
  <si>
    <t>Cortador o separdor de cadena</t>
  </si>
  <si>
    <t>Alicate para anillos de seguridad</t>
  </si>
  <si>
    <t>Llave de tubo 14"</t>
  </si>
  <si>
    <t>Llave de tubo 12"</t>
  </si>
  <si>
    <t>Ponchadora</t>
  </si>
  <si>
    <t>Hombresolo de cadena</t>
  </si>
  <si>
    <t>Escofina rectangular</t>
  </si>
  <si>
    <t>Martillo de bola</t>
  </si>
  <si>
    <t>Martillo de uña</t>
  </si>
  <si>
    <t>Martillo cabeza de caucho</t>
  </si>
  <si>
    <t>Maceta</t>
  </si>
  <si>
    <t>Martillo grande cabeza de caucho</t>
  </si>
  <si>
    <t>Palustre</t>
  </si>
  <si>
    <t>llana metalica</t>
  </si>
  <si>
    <t>Espatula</t>
  </si>
  <si>
    <t>Segueta de arco</t>
  </si>
  <si>
    <t>Nivel metalico</t>
  </si>
  <si>
    <t>Alicate de presion tipo soldador</t>
  </si>
  <si>
    <t>Puntero</t>
  </si>
  <si>
    <t>Extractor para poleas</t>
  </si>
  <si>
    <t>llave de correa</t>
  </si>
  <si>
    <t>Pistola de engrase</t>
  </si>
  <si>
    <t>Acople reductor 1 1/2" x 1"</t>
  </si>
  <si>
    <t>Controlador ORP</t>
  </si>
  <si>
    <t>Sonda ORP - PH - CT 1001</t>
  </si>
  <si>
    <t>Caja de paso</t>
  </si>
  <si>
    <t>Clavija trifasica L11</t>
  </si>
  <si>
    <t>Conector tipo C13 macho y hembra</t>
  </si>
  <si>
    <t>Borneras de 8 tornillos</t>
  </si>
  <si>
    <t>Tornillo expansivo roscado 1/2" x 6"</t>
  </si>
  <si>
    <t>Adaptador hembra 2"</t>
  </si>
  <si>
    <t>Valvula de bola roscar 3/4"</t>
  </si>
  <si>
    <t>Valvula de bola roscar 3/8" x 1/2"</t>
  </si>
  <si>
    <t>Valvula de bola roscar 1"</t>
  </si>
  <si>
    <t>Tijeras de jardineria</t>
  </si>
  <si>
    <t>Embudo plastico</t>
  </si>
  <si>
    <t>Manguera hidroneumatica</t>
  </si>
  <si>
    <t>Acople flexometalico</t>
  </si>
  <si>
    <t>Bomba de trasiego</t>
  </si>
  <si>
    <t>Brocha 2"</t>
  </si>
  <si>
    <t>Salida de cables conduit</t>
  </si>
  <si>
    <t>Laminas sierra - hoja de segueta</t>
  </si>
  <si>
    <t>Kit de reparacion y mantenimiento para bombas dosificadoras</t>
  </si>
  <si>
    <t>Subconjunto purga de aire</t>
  </si>
  <si>
    <t>Bloque muletilla verde</t>
  </si>
  <si>
    <t>Bornera tierra</t>
  </si>
  <si>
    <t>Relay 8 pines</t>
  </si>
  <si>
    <t>Amperimetro analogo 0-30 A</t>
  </si>
  <si>
    <t>Muletilla tres posiciones</t>
  </si>
  <si>
    <t>Socket relay 8 pines</t>
  </si>
  <si>
    <t>Valvula para estanque sanitario</t>
  </si>
  <si>
    <t>Tapa para interruptor</t>
  </si>
  <si>
    <t>Interruptor</t>
  </si>
  <si>
    <t>Caja rectangular electrica</t>
  </si>
  <si>
    <t>Tapa galvanizada</t>
  </si>
  <si>
    <t>Caja retie proelectricos</t>
  </si>
  <si>
    <t>Fuente de alimentacion</t>
  </si>
  <si>
    <t>Toma corriente L14</t>
  </si>
  <si>
    <t>Toma doble</t>
  </si>
  <si>
    <t>Clavija L14</t>
  </si>
  <si>
    <t>Toma corrienteL5</t>
  </si>
  <si>
    <t>Clavija L5</t>
  </si>
  <si>
    <t>Contactor NC1-1810</t>
  </si>
  <si>
    <t>Relay sobrecarga termica</t>
  </si>
  <si>
    <t>Breacker para riel C6</t>
  </si>
  <si>
    <t>Clavija 3 patas</t>
  </si>
  <si>
    <t>Terminal cincado N6 AWG</t>
  </si>
  <si>
    <t>Toma corriente L15</t>
  </si>
  <si>
    <t>Interruptor para control de motores</t>
  </si>
  <si>
    <t>Clavija 2 patas</t>
  </si>
  <si>
    <t>Indicador de presion OPG 20X100</t>
  </si>
  <si>
    <t>Base filtradora adhesiva</t>
  </si>
  <si>
    <t>Ralay temporizador multifuncional</t>
  </si>
  <si>
    <t>Contador o temporizador</t>
  </si>
  <si>
    <t>Selector de muletilla EB</t>
  </si>
  <si>
    <t>Amperimetro analigo</t>
  </si>
  <si>
    <t>Relay termico 9-13</t>
  </si>
  <si>
    <t>Aislador de barra conectores SM-51</t>
  </si>
  <si>
    <t>Aislador cilindrico doble tornillo</t>
  </si>
  <si>
    <t>Fuente swich 250W 12V / 100W</t>
  </si>
  <si>
    <t>Flotador switch control de nivel (boya)</t>
  </si>
  <si>
    <t>Fotocelda electronica</t>
  </si>
  <si>
    <t>Sensor de luz</t>
  </si>
  <si>
    <t>Sensor fotocelda mini</t>
  </si>
  <si>
    <t>Relay termico NR 2-25</t>
  </si>
  <si>
    <t>Interruptor de circuito 800 Voltios</t>
  </si>
  <si>
    <t>Toma circular L11</t>
  </si>
  <si>
    <t>Caja de conexión 2+</t>
  </si>
  <si>
    <t>Cono de bola en linea</t>
  </si>
  <si>
    <t>Caja condulet tipo LR 1"</t>
  </si>
  <si>
    <t>Base de columna 35k + juntas electricas</t>
  </si>
  <si>
    <t>Placa de montaje metalica</t>
  </si>
  <si>
    <t>Rodamientos de bola y rodillo</t>
  </si>
  <si>
    <t>Base relay interfase mini 5 pines</t>
  </si>
  <si>
    <t>Bobina contactor 120V - 50 - 60 HZ</t>
  </si>
  <si>
    <t>Marquillas</t>
  </si>
  <si>
    <t>Monitor de voltaje tipo 54102</t>
  </si>
  <si>
    <t xml:space="preserve">Medidor de panel digital </t>
  </si>
  <si>
    <t>Probador electrico sperry</t>
  </si>
  <si>
    <t>Breacker 20/240</t>
  </si>
  <si>
    <t>Sello mecanico</t>
  </si>
  <si>
    <t>Relay de potencia miniatura</t>
  </si>
  <si>
    <t>Relay pequeño 5 pines</t>
  </si>
  <si>
    <t>Relay electromecanico</t>
  </si>
  <si>
    <t>Terminal rotatorio de doble ala</t>
  </si>
  <si>
    <t>Conector resorte amarillo</t>
  </si>
  <si>
    <t>Barra de neutro conexión resorte 600v</t>
  </si>
  <si>
    <t>Conector torsion S-p3</t>
  </si>
  <si>
    <t>Shunt montaje en base</t>
  </si>
  <si>
    <t>Analogo PLC/CPU</t>
  </si>
  <si>
    <t>Transformador toroidal</t>
  </si>
  <si>
    <t>Caja marcado tipo amarillo</t>
  </si>
  <si>
    <t>Toma aerea de seguridad polo a tierra</t>
  </si>
  <si>
    <t>Regulador de caudal 1/4</t>
  </si>
  <si>
    <t>Control de flujo neumatico</t>
  </si>
  <si>
    <t>Relay de estado solido</t>
  </si>
  <si>
    <t>Bloque de contacto auxiliar chint</t>
  </si>
  <si>
    <t>Bloque de terminal 600V-750V</t>
  </si>
  <si>
    <t>Bombillos luz blanca</t>
  </si>
  <si>
    <t>Agujero de rosca 3/4</t>
  </si>
  <si>
    <t>Union reforzada galvanizada</t>
  </si>
  <si>
    <t>Goma delgada negra</t>
  </si>
  <si>
    <t>Soporte bajante</t>
  </si>
  <si>
    <t>Abrazadera riel 1"</t>
  </si>
  <si>
    <t>Abrazadera riel 3/4"</t>
  </si>
  <si>
    <t>Malacate</t>
  </si>
  <si>
    <t>Diferencial</t>
  </si>
  <si>
    <t>Alambre de pua x rollo</t>
  </si>
  <si>
    <t>Soporte para membranas</t>
  </si>
  <si>
    <t>Cadena barrelodos</t>
  </si>
  <si>
    <t>Varilla de roscar x 100 m</t>
  </si>
  <si>
    <t>Varilla de acero inoxidable x 65 cm</t>
  </si>
  <si>
    <t>Machete</t>
  </si>
  <si>
    <t>Perfiles de aluminio x 100 cm</t>
  </si>
  <si>
    <t>Canaleta ranurada para cableado</t>
  </si>
  <si>
    <t>Dobladora de tubos</t>
  </si>
  <si>
    <t>Caucho para empaques</t>
  </si>
  <si>
    <t>Marco de ventana en aluminio con masquitero</t>
  </si>
  <si>
    <t>Valvula flotador cobre</t>
  </si>
  <si>
    <t>Valvula de flotador plastico</t>
  </si>
  <si>
    <t>Valvula flotador pequeña</t>
  </si>
  <si>
    <t>Destapa caños universal</t>
  </si>
  <si>
    <t>Accesorios para sifon</t>
  </si>
  <si>
    <t>Repuesto de manguera para lavamanos y lavaplatos</t>
  </si>
  <si>
    <t>Llave mixta 10mm</t>
  </si>
  <si>
    <t>Llave mixta 11mm</t>
  </si>
  <si>
    <t>Llave mixta 12mm</t>
  </si>
  <si>
    <t>Llave mixta 13mm</t>
  </si>
  <si>
    <t>Llave mixta 14mm</t>
  </si>
  <si>
    <t>Llave mixta 15mm</t>
  </si>
  <si>
    <t>Llave mixta 17mm</t>
  </si>
  <si>
    <t>Llave mixta sin medida</t>
  </si>
  <si>
    <t>Llave mixta 3/8</t>
  </si>
  <si>
    <t>Llave mixta 1/2</t>
  </si>
  <si>
    <t>Llave mixta 5/8</t>
  </si>
  <si>
    <t>Llave mixta 11/16</t>
  </si>
  <si>
    <t>Llave mixta 3/4</t>
  </si>
  <si>
    <t>Llave mixta 15/16</t>
  </si>
  <si>
    <t>Llave mixta 1"</t>
  </si>
  <si>
    <t>Llave mixta 1 1/8</t>
  </si>
  <si>
    <t>Llave mixta con trinquete 14mm</t>
  </si>
  <si>
    <t>Llave mixta con trinquete 3/4</t>
  </si>
  <si>
    <t>Llave expansiva pequeña</t>
  </si>
  <si>
    <t>Llave expansiva 300mm</t>
  </si>
  <si>
    <t>Llave expansiva 375mm</t>
  </si>
  <si>
    <t>Llave boca fija 8x9 mm</t>
  </si>
  <si>
    <t xml:space="preserve">Llave boca fija 3/8" x 5/16" </t>
  </si>
  <si>
    <t>Llave boca fija 12 x 13 mm</t>
  </si>
  <si>
    <t>Llave plana</t>
  </si>
  <si>
    <t>Llave doble anillo 5/16" x 3/8"</t>
  </si>
  <si>
    <t>Destornillador pala</t>
  </si>
  <si>
    <t>Destornillador tester pala</t>
  </si>
  <si>
    <t>Destornillador tuerca metrica</t>
  </si>
  <si>
    <t>Test electromagnetico - punta redonda</t>
  </si>
  <si>
    <t>Destornillador estrella</t>
  </si>
  <si>
    <t>Destonillador torx</t>
  </si>
  <si>
    <t>Llave para bujia</t>
  </si>
  <si>
    <t>Flexometro 8 metros</t>
  </si>
  <si>
    <t>Extractor metalico de 2 patasx 3"</t>
  </si>
  <si>
    <t>Torque control</t>
  </si>
  <si>
    <t>Puntilla con cabeza 4"</t>
  </si>
  <si>
    <t>Clavo de acero liso 2,5 x 1 1/2"</t>
  </si>
  <si>
    <t>Puntilla sin cabeza 3/4"</t>
  </si>
  <si>
    <t>Clavo sin cabeza liso 2,5 x 1 1/2"</t>
  </si>
  <si>
    <t>Clavo de acero liso 3,0 x 2 1/2"</t>
  </si>
  <si>
    <t>Puntilla lisa con cabeza 2"</t>
  </si>
  <si>
    <t>Grapas de 1 1/4 x 9</t>
  </si>
  <si>
    <t>Grapas de tapiceria A-11/10</t>
  </si>
  <si>
    <t>Sikaflex sellante</t>
  </si>
  <si>
    <t>Topex selloflex</t>
  </si>
  <si>
    <t>Hojas de lija</t>
  </si>
  <si>
    <t>ESAB electrodos 8 kg</t>
  </si>
  <si>
    <t>ESAB electrodos 2 kg</t>
  </si>
  <si>
    <t>Pegante de contacto</t>
  </si>
  <si>
    <t>Grata tipo capa 3"</t>
  </si>
  <si>
    <t>Grafito alfa</t>
  </si>
  <si>
    <t>Pegante para madera</t>
  </si>
  <si>
    <t>Pegante para todo uso</t>
  </si>
  <si>
    <t>Eterna - sellador</t>
  </si>
  <si>
    <t>Fijador de roscas</t>
  </si>
  <si>
    <t>Bas ASS O-ring</t>
  </si>
  <si>
    <t>Limpiador de acero inoxidable</t>
  </si>
  <si>
    <t>Acondicionador inoxidable</t>
  </si>
  <si>
    <t>Carreta Nylon x 6 lbs</t>
  </si>
  <si>
    <t>Cinta micro perforada</t>
  </si>
  <si>
    <t>Silicona lubricante</t>
  </si>
  <si>
    <t>Corta tubo</t>
  </si>
  <si>
    <t>Juego de llaves bristol</t>
  </si>
  <si>
    <t>Juego de llaves torx</t>
  </si>
  <si>
    <t>Kit juego de lijas</t>
  </si>
  <si>
    <t>Piedras puntas abrasivas</t>
  </si>
  <si>
    <t>Torquimetro</t>
  </si>
  <si>
    <t>Adaptador copas 3/8</t>
  </si>
  <si>
    <t>Galgas</t>
  </si>
  <si>
    <t>Juego de copa sierra 1/8" - 1 1/8" - 1 1/2" - 1 3/4" - 2 1/4"- 2 9/16"</t>
  </si>
  <si>
    <t xml:space="preserve">Juego de copa sierra </t>
  </si>
  <si>
    <t>Mandril para taladro</t>
  </si>
  <si>
    <t>Brocas de diversas medidas</t>
  </si>
  <si>
    <t>Juego de brocas DORMER</t>
  </si>
  <si>
    <t>Extension flexible para taladro</t>
  </si>
  <si>
    <t>Llaves para taladro</t>
  </si>
  <si>
    <t>Juego de copas para destornillador electrico</t>
  </si>
  <si>
    <t>Taladro reversible</t>
  </si>
  <si>
    <t>Atornillador inalambrico con cargador</t>
  </si>
  <si>
    <t>Grapadora manual STANLEY tipo industrial</t>
  </si>
  <si>
    <t>Pinza cable de bateria</t>
  </si>
  <si>
    <t>Lijadora de acabados</t>
  </si>
  <si>
    <t>Cautin negro</t>
  </si>
  <si>
    <t>Paquete de soldadura</t>
  </si>
  <si>
    <t>Discos para tronzadora</t>
  </si>
  <si>
    <t>Disco de corte abrasivo</t>
  </si>
  <si>
    <t>Disco para pulidora</t>
  </si>
  <si>
    <t>Disco de zirconio laminado</t>
  </si>
  <si>
    <t>Decametro</t>
  </si>
  <si>
    <t>Kit destornilladores de presicion x 6 piezas</t>
  </si>
  <si>
    <t>Amperimetro digital</t>
  </si>
  <si>
    <t>Calibrador pie de rey electrico</t>
  </si>
  <si>
    <t>Calibrador pie de rey plastico</t>
  </si>
  <si>
    <t>Medidor de presion FSI</t>
  </si>
  <si>
    <t>Dispensador de cinta</t>
  </si>
  <si>
    <t>Lijadora manual</t>
  </si>
  <si>
    <t>Empaque caucho 2" / 60 3mm</t>
  </si>
  <si>
    <t>Empaque triclan 70 x D1:40,20</t>
  </si>
  <si>
    <t>Empaque negro 6"</t>
  </si>
  <si>
    <t>Empaque de goma 4" x 5 1/2</t>
  </si>
  <si>
    <t>Empaque de goma 3" 3/4 x 5" 1/2</t>
  </si>
  <si>
    <t>Empaque de goma 4" x 5"</t>
  </si>
  <si>
    <t>Empaque de goma 4" 1/4"</t>
  </si>
  <si>
    <t>Empaque de goma 2" 3/4 x 3" 3/4</t>
  </si>
  <si>
    <t>Empaque de gome 2 1/4" x 4 1/4"</t>
  </si>
  <si>
    <t>Empaque de goma 3" x 3 3/4"</t>
  </si>
  <si>
    <t>Empaque de goma 2" x 5" brida</t>
  </si>
  <si>
    <t>Empaque de goma 2" 1/4 x 5 1/4"</t>
  </si>
  <si>
    <t>Empaque de goma 1" 1/4 x 2" 1/2</t>
  </si>
  <si>
    <t>Empaque de goma 1" 1/2 x 2" 1/2 tipo dona</t>
  </si>
  <si>
    <t>Empaque de goma 1" 1/2 x 2" 1/2</t>
  </si>
  <si>
    <t>Empaque de goma 13/16 x 1" 1/2</t>
  </si>
  <si>
    <t>Empaque de goma 13/16 x 1" 1/4</t>
  </si>
  <si>
    <t>Empaque de goma 13/16 x 1" 5/16</t>
  </si>
  <si>
    <t>Empaque de goma 3/4 x 1"</t>
  </si>
  <si>
    <t>Empaque de goma azul 1"</t>
  </si>
  <si>
    <t>Empaque de espuma 1" x  2" 1/4</t>
  </si>
  <si>
    <t xml:space="preserve">Empaque de goma 1" x 1" 3/4 </t>
  </si>
  <si>
    <t>Oring - empaque 8"</t>
  </si>
  <si>
    <t>Oring - empaque 7" 1/2</t>
  </si>
  <si>
    <t xml:space="preserve">Oring - empaque 7" </t>
  </si>
  <si>
    <t>Oring - empaque 6" 1/2</t>
  </si>
  <si>
    <t>Oring - empaque 6"</t>
  </si>
  <si>
    <t>Oring - empaque 5" 1/2</t>
  </si>
  <si>
    <t>Oring - empaque 4" 1/2</t>
  </si>
  <si>
    <t>Oring - empaque 4"</t>
  </si>
  <si>
    <t>Oring - empaque 3" 1/2</t>
  </si>
  <si>
    <t xml:space="preserve">Oring - empaque 3" </t>
  </si>
  <si>
    <t>Oring - empaque 3" 1/4</t>
  </si>
  <si>
    <t>Oring - empaque 2" 1/2</t>
  </si>
  <si>
    <t>Oring - empaque 2" 1/4</t>
  </si>
  <si>
    <t xml:space="preserve">Oring - empaque 2" </t>
  </si>
  <si>
    <t>Oring - empaque 1" 3/4</t>
  </si>
  <si>
    <t>Oring - empaque 1" 1/2</t>
  </si>
  <si>
    <t>Oring - empaque 1" 1/4</t>
  </si>
  <si>
    <t>Oring - empaque 1" 1/8</t>
  </si>
  <si>
    <t xml:space="preserve">Oring - empaque 1" </t>
  </si>
  <si>
    <t>Oring - empaque 1/2</t>
  </si>
  <si>
    <t>Cinta teflon</t>
  </si>
  <si>
    <t>Cadenas metalicas</t>
  </si>
  <si>
    <t>Bomba dosificadora</t>
  </si>
  <si>
    <t>Valvula multipuerto grande 1,5 P</t>
  </si>
  <si>
    <t>Valvula de control</t>
  </si>
  <si>
    <t>Valvula multipuerto 3 vias 1"</t>
  </si>
  <si>
    <t>Filtro en Y</t>
  </si>
  <si>
    <t>Valvula de pie 6"</t>
  </si>
  <si>
    <t>Acople rapido 3"</t>
  </si>
  <si>
    <t>Acople rapido 2"</t>
  </si>
  <si>
    <t>Acople de aluminio macho 4"</t>
  </si>
  <si>
    <t>Acople tipo F 3"</t>
  </si>
  <si>
    <t>Acople de aluminio macho 3"</t>
  </si>
  <si>
    <t>Acople rapido de 1" 1/2</t>
  </si>
  <si>
    <t>Acople rapido de 1"</t>
  </si>
  <si>
    <t>Niple de acero inoxidable 2"</t>
  </si>
  <si>
    <t>Union de acero inoxidable 1" 1/2 150 lbs cortada</t>
  </si>
  <si>
    <t>Union de acero inoxidable 1" 1/4  cortada</t>
  </si>
  <si>
    <t>Union de acero inoxidable 4" cortada</t>
  </si>
  <si>
    <t>Union de acero inoxidable 2" cortada</t>
  </si>
  <si>
    <t>Reduccion galvanizada de rosca 1" 1/2 x 1" 1/4</t>
  </si>
  <si>
    <t>Reduccion galvanizada 2" x 1"</t>
  </si>
  <si>
    <t>Acople de aluminio para manguera tipo OPW 1" 1/2</t>
  </si>
  <si>
    <t>Acople de aluminio para manguera 1" 1/2</t>
  </si>
  <si>
    <t>Acople de aluminio para manguera 2"</t>
  </si>
  <si>
    <t>Niple botella galvanizado 1" 1/2 x 1"</t>
  </si>
  <si>
    <t>Acople de acero inoxidable 1" 1/2</t>
  </si>
  <si>
    <t>reduccion galvanizada 1" x 1/2</t>
  </si>
  <si>
    <t>reduccion galvanizada 1" x 1/4</t>
  </si>
  <si>
    <t>reduccion galvanizada 2" 1/4 x 1"</t>
  </si>
  <si>
    <t>Tapon galvanizado roscar 1"</t>
  </si>
  <si>
    <t>Union acero inoxidable 3/4"</t>
  </si>
  <si>
    <t>Conector EMT de tornillo 1/2"</t>
  </si>
  <si>
    <t>Conector EMT de tornillo 3/4"</t>
  </si>
  <si>
    <t>Conector EMT de tornillo 1"</t>
  </si>
  <si>
    <t>Impulsor de bomba</t>
  </si>
  <si>
    <t>Acople galvanizado para manguera de 1/4"</t>
  </si>
  <si>
    <t>Acople galvanizado 1" x 1/2"</t>
  </si>
  <si>
    <t>Acople rapido galvanizado para manguera 1"</t>
  </si>
  <si>
    <t>Acople rapido de aluminio tipo E 1" 1/2</t>
  </si>
  <si>
    <t>Valvula solenoide 205T</t>
  </si>
  <si>
    <t>Union acero inoxidable 1" cortada</t>
  </si>
  <si>
    <t>Conector coraza curvo 1"</t>
  </si>
  <si>
    <t>Conector coraza curvo 3/4"</t>
  </si>
  <si>
    <t>Conector coraza curvo 3/8"</t>
  </si>
  <si>
    <t>Tapon rosca 1/2"</t>
  </si>
  <si>
    <t>Tapon rosca 1"</t>
  </si>
  <si>
    <t>Acople aire 1/4"</t>
  </si>
  <si>
    <t>Acople de aire macho bronce 1/4</t>
  </si>
  <si>
    <t>Union EMT de tornillo 1/2</t>
  </si>
  <si>
    <t>Union EMT de tornillo 3/4</t>
  </si>
  <si>
    <t>Union EMT de tornillo 1"</t>
  </si>
  <si>
    <t>Union EMT de tornillo 1" 1/2</t>
  </si>
  <si>
    <t>Pieza de repuesto DANFOSS</t>
  </si>
  <si>
    <t>Bobina Solenoide</t>
  </si>
  <si>
    <t>Rejilla tipo cupula C4" x 2"A</t>
  </si>
  <si>
    <t>Manometro</t>
  </si>
  <si>
    <t>Manometro con glicerina -30 a 30 psi</t>
  </si>
  <si>
    <t>Manometro con glicerina 0-150 PSI</t>
  </si>
  <si>
    <t>Manometro con glicerina 0-100 PSI</t>
  </si>
  <si>
    <t>Presostato 2W025 - 08</t>
  </si>
  <si>
    <t>Presostato 9013FS62</t>
  </si>
  <si>
    <t>Disofusor superior tipo canastilla</t>
  </si>
  <si>
    <t>Abrazadera de riego 2" x 3/4</t>
  </si>
  <si>
    <t>Filtro de desague</t>
  </si>
  <si>
    <t>Filtro rojo</t>
  </si>
  <si>
    <t>Toma SUP 3P +N+T</t>
  </si>
  <si>
    <t>Conector industrial trifasico 4 pines</t>
  </si>
  <si>
    <t>Toma Industrial impermeable rojo</t>
  </si>
  <si>
    <t>Distribuidor plastico de agua</t>
  </si>
  <si>
    <t>Riel metalico</t>
  </si>
  <si>
    <t>Barras de repuesto para montaje</t>
  </si>
  <si>
    <t>Toma aerea 32A</t>
  </si>
  <si>
    <t>Codo para tubo EMT</t>
  </si>
  <si>
    <t>Junta espirometrica WR4</t>
  </si>
  <si>
    <t>Junta espirometrica WR3</t>
  </si>
  <si>
    <t>Junta espirometrica WR2</t>
  </si>
  <si>
    <t>Junta espirometrica WR1</t>
  </si>
  <si>
    <t>Niple galvanizado 2" 1/2</t>
  </si>
  <si>
    <t>Union universal galvanizado</t>
  </si>
  <si>
    <t>Filtro de acero inoxidable</t>
  </si>
  <si>
    <t>Filtro de aire para blower</t>
  </si>
  <si>
    <t>Abrazadera de manguera 2" 1/2</t>
  </si>
  <si>
    <t>Abrazadera de manguera 1" 1/2</t>
  </si>
  <si>
    <t>Abrazadera de manguera 1"</t>
  </si>
  <si>
    <t>Abrazadera de manguera 3/4</t>
  </si>
  <si>
    <t>Abrazadera en V 5/16</t>
  </si>
  <si>
    <t>Abrazadera en V 5/8</t>
  </si>
  <si>
    <t>Abrazadera en V grande</t>
  </si>
  <si>
    <t>Codo electrico de metal 1/4</t>
  </si>
  <si>
    <t>Placa de montaje o soporte metalico</t>
  </si>
  <si>
    <t>amarre con tapa plastica 30 cm</t>
  </si>
  <si>
    <t>Chumacera tensora rodamiento</t>
  </si>
  <si>
    <t>Chumacera Flange de 4 puntos rodamiento</t>
  </si>
  <si>
    <t>Impulsor de bomba centrifuga</t>
  </si>
  <si>
    <t>Bobina valvula solenoide</t>
  </si>
  <si>
    <t>Union PVC 2"</t>
  </si>
  <si>
    <t>Codo PVC 1" 1/4</t>
  </si>
  <si>
    <t>Acople reductor PVC 2" x 1" 1/4</t>
  </si>
  <si>
    <t>Abrazadera tipo americano 5" 1/4</t>
  </si>
  <si>
    <t>Abrazadera tipo americano 4" 1/2</t>
  </si>
  <si>
    <t>Abrazadera tipo americano 4"</t>
  </si>
  <si>
    <t>Abrazadera tipo americano 2" 1/4</t>
  </si>
  <si>
    <t>Abrazadera de alambre doble 3" 1/2</t>
  </si>
  <si>
    <t>Abrazadera de alambre doble 2"</t>
  </si>
  <si>
    <t>Abrazadera de alambre doble 1" 3/4</t>
  </si>
  <si>
    <t>Cheque cortina bronce 1"</t>
  </si>
  <si>
    <t>Cheque cortina bronce 3/4"</t>
  </si>
  <si>
    <t>Cheque cortina bronce 1/2"</t>
  </si>
  <si>
    <t>Valvula retencion bronce 1"</t>
  </si>
  <si>
    <t>Tapon de rosca 6"</t>
  </si>
  <si>
    <t>Valvula solenoide bronce 1"</t>
  </si>
  <si>
    <t>Valvula solenoide bronce 3/4"</t>
  </si>
  <si>
    <t>Valvula solenoide PVC 1"</t>
  </si>
  <si>
    <t>Valvula solenoide pequeña</t>
  </si>
  <si>
    <t>Tensor de rosca</t>
  </si>
  <si>
    <t>Terminal ojal cable</t>
  </si>
  <si>
    <t>Tornillo de cabeza hueca 5/16</t>
  </si>
  <si>
    <t>Grapa abrazadera metalica 1/2</t>
  </si>
  <si>
    <t>Grapa abrazadera metalica 1"</t>
  </si>
  <si>
    <t>Grapa abrazadera tipo omega 1" 1/2</t>
  </si>
  <si>
    <t>Grapa abrazadera tipo omega 2"</t>
  </si>
  <si>
    <t>Grapa abrazadera tipo omega 1"</t>
  </si>
  <si>
    <t>Grapa abrazadera tipo omega 1/2"</t>
  </si>
  <si>
    <t>Grapa abrazadera tipo omega 3/4"</t>
  </si>
  <si>
    <t>Grapa abrazadera metalica 1 1/4"</t>
  </si>
  <si>
    <t>Grapa abrazadera plastica 3/4"</t>
  </si>
  <si>
    <t>Abrazadera con tornillo 1"</t>
  </si>
  <si>
    <t>Abrazadera con tornillo 3/4</t>
  </si>
  <si>
    <t>Abrazadera con tornillo 33-37 1"</t>
  </si>
  <si>
    <t>Rodamiento multiusos</t>
  </si>
  <si>
    <t>Polea para compresor</t>
  </si>
  <si>
    <t>Union acero inoxidable cortada 3/4"</t>
  </si>
  <si>
    <t>Union cortada 1"</t>
  </si>
  <si>
    <t xml:space="preserve">Union de acero inoxidable 1" 1/2 </t>
  </si>
  <si>
    <t>Union de acero inoxidable 1/2"</t>
  </si>
  <si>
    <t>Union de acero inoxidable 1/4"</t>
  </si>
  <si>
    <t>Union de acero inoxidable cortada 1/2"</t>
  </si>
  <si>
    <t>Reduccion galvanizada roscar 3/4 x 1/2"</t>
  </si>
  <si>
    <t>Adaptador reductor rosca</t>
  </si>
  <si>
    <t>Conector recto para conduit</t>
  </si>
  <si>
    <t>Union de acero inoxidable cortada 1/4"</t>
  </si>
  <si>
    <t>Niple de 1/4" roscar</t>
  </si>
  <si>
    <t>Acople de rosca acero inoxidable 1/2"</t>
  </si>
  <si>
    <t>Union metalica 1/2"</t>
  </si>
  <si>
    <t>Acople de rosca acero inoxidable 1/4"</t>
  </si>
  <si>
    <t>Ganchos en forma de S</t>
  </si>
  <si>
    <t>Canastilla para sifon</t>
  </si>
  <si>
    <t>Abrazadera en U</t>
  </si>
  <si>
    <t>Guaya</t>
  </si>
  <si>
    <t>Guaya delgada</t>
  </si>
  <si>
    <t>Taladro recto 160V de 3/8"</t>
  </si>
  <si>
    <t>Amoladora recta 1 a 1/2</t>
  </si>
  <si>
    <t>Taladro Makita</t>
  </si>
  <si>
    <t>Pistola Cautin</t>
  </si>
  <si>
    <t>Valvula check anti-retorno 4"</t>
  </si>
  <si>
    <t>Medidor de presion 1-25 bar</t>
  </si>
  <si>
    <t>Cartucho para filtro</t>
  </si>
  <si>
    <t>Difusor 9" conexión 1" interna</t>
  </si>
  <si>
    <t>Camara Smart</t>
  </si>
  <si>
    <t>Discos de metal perforados</t>
  </si>
  <si>
    <t>Grapa para zuncho</t>
  </si>
  <si>
    <t>Tuerca tubo conector para bomba 3"</t>
  </si>
  <si>
    <t>Conector para bomba 1" x 1/2"</t>
  </si>
  <si>
    <t>Codo macho rosca para manguera</t>
  </si>
  <si>
    <t>Manguera flexible organizada cables</t>
  </si>
  <si>
    <t>Valvula metalica de bola 1" 1/2</t>
  </si>
  <si>
    <t xml:space="preserve">Valvula metalica de bola 1" </t>
  </si>
  <si>
    <t>Valvula metalica de bola 3/4"</t>
  </si>
  <si>
    <t>Valvula metalica de bola 1/2"</t>
  </si>
  <si>
    <t>Valvula metalica de bola 1/4"</t>
  </si>
  <si>
    <t>Valvula compuerta 1" metalica</t>
  </si>
  <si>
    <t>Valvula compuerta 1/4" metalica</t>
  </si>
  <si>
    <t>Instrumento de estudio suelos</t>
  </si>
  <si>
    <t>Valvula de bola cromada 1/2"</t>
  </si>
  <si>
    <t>Filtro de agua con manometro de presion</t>
  </si>
  <si>
    <t>Medidor de flujo</t>
  </si>
  <si>
    <t>Flujometro Z-4005</t>
  </si>
  <si>
    <t>Flujometro LZT G-25</t>
  </si>
  <si>
    <t>Flujometro F-30150P</t>
  </si>
  <si>
    <t>Flujometro Z-6015</t>
  </si>
  <si>
    <t>Flujometro aire LZM-6T</t>
  </si>
  <si>
    <t>Flujometro aire K-1016</t>
  </si>
  <si>
    <t>Flujometro aire K-1013</t>
  </si>
  <si>
    <t>Tablero contador bifasico 3 lineas</t>
  </si>
  <si>
    <t>Bomba vacio monofasico</t>
  </si>
  <si>
    <t>Tapa sanitario</t>
  </si>
  <si>
    <t>Filtro BIGBLUE</t>
  </si>
  <si>
    <t>Espiral discos</t>
  </si>
  <si>
    <t>Medidor pH/ORP 2000-control</t>
  </si>
  <si>
    <t>Bomba dosificadora HANNA</t>
  </si>
  <si>
    <t>Valvula multipuerto</t>
  </si>
  <si>
    <t>Sensor de nivel por radar</t>
  </si>
  <si>
    <t>Valvula de llenado para sistema</t>
  </si>
  <si>
    <t>Difusor araña</t>
  </si>
  <si>
    <t>Panel solar</t>
  </si>
  <si>
    <t>Reflector LED</t>
  </si>
  <si>
    <t>Calentador electronico de paso</t>
  </si>
  <si>
    <t>Helices para tanque de saturacion</t>
  </si>
  <si>
    <t>Bomba Centrifuga</t>
  </si>
  <si>
    <t>Tubo lateral para filtro</t>
  </si>
  <si>
    <t>Tubo difusor araña</t>
  </si>
  <si>
    <t>Caja conector tipo T1/2</t>
  </si>
  <si>
    <t>Tronzadora</t>
  </si>
  <si>
    <t>Compresor</t>
  </si>
  <si>
    <t>Valvula reductora de presion</t>
  </si>
  <si>
    <t>Acople de bronce 5 vias</t>
  </si>
  <si>
    <t>NIVEL</t>
  </si>
  <si>
    <t>POSICION</t>
  </si>
  <si>
    <t>DESCRIPCION</t>
  </si>
  <si>
    <t>UNIDAD</t>
  </si>
  <si>
    <t>POLIMERO ASPRE FLOC AN 315</t>
  </si>
  <si>
    <t>SUPER TRAMP - PEGANTE LIQUIDO ATRAPA MOSCAS</t>
  </si>
  <si>
    <t>GR</t>
  </si>
  <si>
    <t>FWD CONTROL - BACTERIAS ESPECIFICAS PARA POZOS SEPTICOS</t>
  </si>
  <si>
    <t>GRANULOS PARA ESPARCIR AGITA</t>
  </si>
  <si>
    <t>EXTERMIN INSECTICIDA LIQUIDO</t>
  </si>
  <si>
    <t>ROUNDUP ACTIVO_HERBICIDA AGRICOLA</t>
  </si>
  <si>
    <t>BABOXA SE_MOLUSQUICIDA AGRICOLA</t>
  </si>
  <si>
    <t>FORZA_FERTILIZANTE AGRICOLA 10-30-10</t>
  </si>
  <si>
    <t>CORBOX COMPOX_ABONO ORGANICO</t>
  </si>
  <si>
    <t>ACIDO NITRICO</t>
  </si>
  <si>
    <t>PEROXIDO DE HIDROGENO 50%</t>
  </si>
  <si>
    <t>SILICONA ANTIESPUMANTE</t>
  </si>
  <si>
    <t>ESCENCIA DE CHOCOLATE_CONTROL DE OLORES</t>
  </si>
  <si>
    <t>CABUYA AGRICOLA</t>
  </si>
  <si>
    <t>ANGEO DE PISCINA</t>
  </si>
  <si>
    <t>NILON PARA GUADAÑA</t>
  </si>
  <si>
    <t>LUBRICANTE AW ISO68</t>
  </si>
  <si>
    <t>GL</t>
  </si>
  <si>
    <t>LVD ENGRALUB EP _ACEITE PARA ENGRANAJES</t>
  </si>
  <si>
    <t>ACEITE HUSQVARNA 2T</t>
  </si>
  <si>
    <t>THINER</t>
  </si>
  <si>
    <t>GASOLINA</t>
  </si>
  <si>
    <t xml:space="preserve">PEGACOR </t>
  </si>
  <si>
    <t>CEMENTO BLANCO</t>
  </si>
  <si>
    <t>CERAMICA 20,5*20,5</t>
  </si>
  <si>
    <t>BOQUILLA CONCOLOR MAX</t>
  </si>
  <si>
    <t>COMPUESTO HIDRAULICO DE FRAGUADO RAPIDO</t>
  </si>
  <si>
    <t>FIBRATEX_IMPERMEABILIZANTE PARA ESTRUCTUTAS</t>
  </si>
  <si>
    <t>CALTEK_HIDROXIDO DE CALCIO</t>
  </si>
  <si>
    <t>ESCALERA NEGRA DE 3 PASOS</t>
  </si>
  <si>
    <t>TURBINA TIPO BLOWER HG-180-C_110V_20 M3/H</t>
  </si>
  <si>
    <t>BOMBA EDUR LBU 403 3500 RPM</t>
  </si>
  <si>
    <t>BOMBA DOSIFICADORA 1000 L/H 440V</t>
  </si>
  <si>
    <t>MEDIDOR DE NIVEL TIPO RADAR_24V DC RANGO 0-10M</t>
  </si>
  <si>
    <t>MEDIDOR DE FLUJO ELECTROMAGNETICO DN40_220V</t>
  </si>
  <si>
    <t>BOMBA DOSIFICADORA 60 L/H 440V</t>
  </si>
  <si>
    <t>FILTRO DE CARTUCHO 50CC</t>
  </si>
  <si>
    <t>FILTRO CON SOPORTE DE DESFOGUE 50 CC</t>
  </si>
  <si>
    <t>BOMBA DOSIFICADORA 150 L/H 440V</t>
  </si>
  <si>
    <t>TABLERO ELECTRICO</t>
  </si>
  <si>
    <t>CABLE 3*16 MULTIFLEX 600V</t>
  </si>
  <si>
    <t>ROLLO</t>
  </si>
  <si>
    <t>CABLE 4*18 600V</t>
  </si>
  <si>
    <t>CABLES VARIOS</t>
  </si>
  <si>
    <t>CAJA</t>
  </si>
  <si>
    <t>CALENTADOR ELECTRICO_RECCO_110V</t>
  </si>
  <si>
    <t>BOMBA SUMERGIBLE PEDROLLO 110V_0,5HP</t>
  </si>
  <si>
    <t>RUEDA AUXILIAR PARA BOTE</t>
  </si>
  <si>
    <t>ZUNCHO PLASTICO VERDE</t>
  </si>
  <si>
    <t>MANGUERA PVC LAYFLAT WATER HOSE</t>
  </si>
  <si>
    <t xml:space="preserve">CINTA CAUCHO </t>
  </si>
  <si>
    <t>RUEDA DE CARRETILLA</t>
  </si>
  <si>
    <t>DUCTOS ELECTRICOS_VARIOS</t>
  </si>
  <si>
    <t>MANGUERAS DOSIFICADORAS VARIAS</t>
  </si>
  <si>
    <t>VALVULA DE PIE 3" CPVC</t>
  </si>
  <si>
    <t>BOMBA SUMERGIBLE NEGRA</t>
  </si>
  <si>
    <t>ESCALERA DIELECTRICA N24 LOUISE VILLE</t>
  </si>
  <si>
    <t>ESCALERA DE ALUMINIO WORKER</t>
  </si>
  <si>
    <t>PERFILERIA ALUMINIO_GALVANIZADO</t>
  </si>
  <si>
    <t>COMPRESOR DEWALT</t>
  </si>
  <si>
    <t>MOTOBOMBA A GASOLINA HUMBOLDT GP80</t>
  </si>
  <si>
    <t>BOMBA CENTRIFUGA VENUS 10 120V_1 HP</t>
  </si>
  <si>
    <t>BOMBA CENTRIFUGA PRISMA 252N 440V_1 HP</t>
  </si>
  <si>
    <t>BOMBA CENTRIFUGA SCALA 220V_1,5 HP</t>
  </si>
  <si>
    <t>BOMBA CENTRIFUGA PEARL 220V_1 HP</t>
  </si>
  <si>
    <t>BOMBA CENTRIFUGA WEG 220V_1 HP</t>
  </si>
  <si>
    <t>BOMBA CENTRIFUGA ESPA 440V_1 HP</t>
  </si>
  <si>
    <t>BOMBA CENTRIFUGA ESPA 440V_2 HP</t>
  </si>
  <si>
    <t>GEOMEMBRANA</t>
  </si>
  <si>
    <t>PQT</t>
  </si>
  <si>
    <t>CAJA ACCESORIOS PVC USADO</t>
  </si>
  <si>
    <t>PINTURA BASE MATE VERDE</t>
  </si>
  <si>
    <t>PINTURA BASE MATE GRIS</t>
  </si>
  <si>
    <t>PINTURA BASE MATE AMARILLA</t>
  </si>
  <si>
    <t>PINTURA BLANCA</t>
  </si>
  <si>
    <t>PINTURA VERDE</t>
  </si>
  <si>
    <t>PINTURA BASE MATE NEGRA</t>
  </si>
  <si>
    <t>PINTURA AZUL</t>
  </si>
  <si>
    <t>MASILLA</t>
  </si>
  <si>
    <t>PINTURA VERDE MATE OSCURO</t>
  </si>
  <si>
    <t>TUBERIA RETAL PVC USADA</t>
  </si>
  <si>
    <t>PALA CUADRADA</t>
  </si>
  <si>
    <t>PALA REDONDA</t>
  </si>
  <si>
    <t>PALIN</t>
  </si>
  <si>
    <t>RASTRILLO METALICO</t>
  </si>
  <si>
    <t>RASTRILLO JARDINERIA PLASTICO</t>
  </si>
  <si>
    <t>PALA ANTICHISPA NARANJA</t>
  </si>
  <si>
    <t>BARRA</t>
  </si>
  <si>
    <t>PICA</t>
  </si>
  <si>
    <t>BARRETON</t>
  </si>
  <si>
    <t>ASADON</t>
  </si>
  <si>
    <t>HOLLADORA</t>
  </si>
  <si>
    <t>ARAGAN</t>
  </si>
  <si>
    <t>CEPILLO VERDE DE CERDA GRUESA</t>
  </si>
  <si>
    <t>QUITA TELARAÑAS</t>
  </si>
  <si>
    <t>MALLA VERDE</t>
  </si>
  <si>
    <t>MALLA NEGRA</t>
  </si>
  <si>
    <t xml:space="preserve">MAMBRANAS DE ULTRAFILTRACION </t>
  </si>
  <si>
    <t>CARCASA PARA FILTRO 112 CM MEDIANO</t>
  </si>
  <si>
    <t>CARCASA PARA FILTRO 112 CM GRANDE</t>
  </si>
  <si>
    <t>CARCASA PARA FILTRO 50 CM GRANDE</t>
  </si>
  <si>
    <t>HIDROLAVADORA</t>
  </si>
  <si>
    <t>PISON METALICO</t>
  </si>
  <si>
    <t>ESCALERA BLANCA DE 2 PASOS</t>
  </si>
  <si>
    <t>GLYFOSA_HERBICIDA AGRICOLA</t>
  </si>
  <si>
    <t>NAIROBI INSECTICIDA AGRICOLA</t>
  </si>
  <si>
    <t>DESENGRASANTE INDUSTRIAL</t>
  </si>
  <si>
    <t>A00000050</t>
  </si>
  <si>
    <t>A00000051</t>
  </si>
  <si>
    <t>A00000052</t>
  </si>
  <si>
    <t>A00000056</t>
  </si>
  <si>
    <t>A00000057</t>
  </si>
  <si>
    <t>A00000058</t>
  </si>
  <si>
    <t>A00000059</t>
  </si>
  <si>
    <t>A00000061</t>
  </si>
  <si>
    <t>A00000062</t>
  </si>
  <si>
    <t>A00000064</t>
  </si>
  <si>
    <t>A00000066</t>
  </si>
  <si>
    <t>A00000068</t>
  </si>
  <si>
    <t>A00000071</t>
  </si>
  <si>
    <t>A00000072</t>
  </si>
  <si>
    <t>A00000073</t>
  </si>
  <si>
    <t>A00000074</t>
  </si>
  <si>
    <t>A00000076</t>
  </si>
  <si>
    <t>A00000077</t>
  </si>
  <si>
    <t>A00000078</t>
  </si>
  <si>
    <t>A00000079</t>
  </si>
  <si>
    <t>A00000080</t>
  </si>
  <si>
    <t>A00000081</t>
  </si>
  <si>
    <t>A00000082</t>
  </si>
  <si>
    <t>A00000083</t>
  </si>
  <si>
    <t>A00000084</t>
  </si>
  <si>
    <t>A00000085</t>
  </si>
  <si>
    <t>A00000086</t>
  </si>
  <si>
    <t>A00000087</t>
  </si>
  <si>
    <t>A00000088</t>
  </si>
  <si>
    <t>A00000089</t>
  </si>
  <si>
    <t>A00000090</t>
  </si>
  <si>
    <t>A00000091</t>
  </si>
  <si>
    <t>A00000092</t>
  </si>
  <si>
    <t>A00000093</t>
  </si>
  <si>
    <t>A00000094</t>
  </si>
  <si>
    <t>A00000095</t>
  </si>
  <si>
    <t>A00000096</t>
  </si>
  <si>
    <t>A00000097</t>
  </si>
  <si>
    <t>A00000098</t>
  </si>
  <si>
    <t>A00000099</t>
  </si>
  <si>
    <t>A00000100</t>
  </si>
  <si>
    <t>A00000101</t>
  </si>
  <si>
    <t>A00000102</t>
  </si>
  <si>
    <t>A00000103</t>
  </si>
  <si>
    <t>A00000104</t>
  </si>
  <si>
    <t>A00000105</t>
  </si>
  <si>
    <t>A00000106</t>
  </si>
  <si>
    <t>A00000107</t>
  </si>
  <si>
    <t>A00000108</t>
  </si>
  <si>
    <t>A00000109</t>
  </si>
  <si>
    <t>A00000110</t>
  </si>
  <si>
    <t>A00000111</t>
  </si>
  <si>
    <t>A00000112</t>
  </si>
  <si>
    <t>A00000113</t>
  </si>
  <si>
    <t>A00000114</t>
  </si>
  <si>
    <t>A00000115</t>
  </si>
  <si>
    <t>A00000116</t>
  </si>
  <si>
    <t>A00000117</t>
  </si>
  <si>
    <t>A00000119</t>
  </si>
  <si>
    <t>A00000120</t>
  </si>
  <si>
    <t>A00000121</t>
  </si>
  <si>
    <t>A00000122</t>
  </si>
  <si>
    <t>A00000123</t>
  </si>
  <si>
    <t>A00000124</t>
  </si>
  <si>
    <t>A00000125</t>
  </si>
  <si>
    <t>A00000126</t>
  </si>
  <si>
    <t>A00000127</t>
  </si>
  <si>
    <t>A00000128</t>
  </si>
  <si>
    <t>A00000129</t>
  </si>
  <si>
    <t>A00000130</t>
  </si>
  <si>
    <t>A00000131</t>
  </si>
  <si>
    <t>A00000132</t>
  </si>
  <si>
    <t>A00000133</t>
  </si>
  <si>
    <t>A00000134</t>
  </si>
  <si>
    <t>A00000135</t>
  </si>
  <si>
    <t>A00000136</t>
  </si>
  <si>
    <t>A00000137</t>
  </si>
  <si>
    <t>A00000138</t>
  </si>
  <si>
    <t>A00000139</t>
  </si>
  <si>
    <t>A00000140</t>
  </si>
  <si>
    <t>A00000141</t>
  </si>
  <si>
    <t>A00000142</t>
  </si>
  <si>
    <t>A00000143</t>
  </si>
  <si>
    <t>A00000144</t>
  </si>
  <si>
    <t>A00000145</t>
  </si>
  <si>
    <t>A00000146</t>
  </si>
  <si>
    <t>A00000147</t>
  </si>
  <si>
    <t>A00000148</t>
  </si>
  <si>
    <t>A00000149</t>
  </si>
  <si>
    <t>A00000150</t>
  </si>
  <si>
    <t>A00000151</t>
  </si>
  <si>
    <t>A00000152</t>
  </si>
  <si>
    <t>A00000153</t>
  </si>
  <si>
    <t>A00000154</t>
  </si>
  <si>
    <t>A00000155</t>
  </si>
  <si>
    <t>A00000156</t>
  </si>
  <si>
    <t>A00000157</t>
  </si>
  <si>
    <t>A00000158</t>
  </si>
  <si>
    <t>A00000159</t>
  </si>
  <si>
    <t>Juego de puntas de presicion</t>
  </si>
  <si>
    <t>Atornillador inalambrico + Juego de puntas</t>
  </si>
  <si>
    <t>Juego de copas 21 piezas diferentes ref</t>
  </si>
  <si>
    <t>R1N2P1</t>
  </si>
  <si>
    <t>R1N1P1</t>
  </si>
  <si>
    <t>LOCALIZADOR</t>
  </si>
  <si>
    <t>R1N3P3</t>
  </si>
  <si>
    <t>R1N2P2</t>
  </si>
  <si>
    <t>R1N2P3</t>
  </si>
  <si>
    <t>R1N2P5</t>
  </si>
  <si>
    <t>R1N2P7</t>
  </si>
  <si>
    <t>R1N1P2</t>
  </si>
  <si>
    <t>R1N1P3</t>
  </si>
  <si>
    <t>R1N1P5</t>
  </si>
  <si>
    <t>R1N1P6</t>
  </si>
  <si>
    <t>R2N3P1</t>
  </si>
  <si>
    <t>R2N3P2</t>
  </si>
  <si>
    <t>R2N3P3</t>
  </si>
  <si>
    <t>R2N2P1</t>
  </si>
  <si>
    <t>R2N2P2</t>
  </si>
  <si>
    <t>R2N2P3</t>
  </si>
  <si>
    <t>R2N2P4</t>
  </si>
  <si>
    <t>R2N2P5</t>
  </si>
  <si>
    <t>R2N2P6</t>
  </si>
  <si>
    <t>R2N2P7</t>
  </si>
  <si>
    <t>R2N1P1</t>
  </si>
  <si>
    <t>R2N1P2</t>
  </si>
  <si>
    <t>R2N1P3</t>
  </si>
  <si>
    <t>R2N1P4</t>
  </si>
  <si>
    <t>R2N1P5</t>
  </si>
  <si>
    <t>R3N3P1</t>
  </si>
  <si>
    <t>R3N2P1</t>
  </si>
  <si>
    <t>R3N2P2</t>
  </si>
  <si>
    <t>R3N2P3</t>
  </si>
  <si>
    <t>R3N2P4</t>
  </si>
  <si>
    <t>R3N2P5</t>
  </si>
  <si>
    <t>R3N2P6</t>
  </si>
  <si>
    <t>R3N2P7</t>
  </si>
  <si>
    <t>R3N2P8</t>
  </si>
  <si>
    <t>R3N1P1</t>
  </si>
  <si>
    <t>R4N1P1</t>
  </si>
  <si>
    <t>R5N1P1</t>
  </si>
  <si>
    <t>L00000001</t>
  </si>
  <si>
    <t>L00000002</t>
  </si>
  <si>
    <t>L00000003</t>
  </si>
  <si>
    <t>L00000004</t>
  </si>
  <si>
    <t>L00000005</t>
  </si>
  <si>
    <t>L00000006</t>
  </si>
  <si>
    <t>L00000007</t>
  </si>
  <si>
    <t>L00000008</t>
  </si>
  <si>
    <t>L00000009</t>
  </si>
  <si>
    <t>L00000010</t>
  </si>
  <si>
    <t>L00000011</t>
  </si>
  <si>
    <t>L00000012</t>
  </si>
  <si>
    <t>L00000013</t>
  </si>
  <si>
    <t>L00000014</t>
  </si>
  <si>
    <t>L00000015</t>
  </si>
  <si>
    <t>L00000016</t>
  </si>
  <si>
    <t>L00000017</t>
  </si>
  <si>
    <t>L00000018</t>
  </si>
  <si>
    <t>L00000019</t>
  </si>
  <si>
    <t>L00000020</t>
  </si>
  <si>
    <t>L00000021</t>
  </si>
  <si>
    <t>L00000022</t>
  </si>
  <si>
    <t>L00000023</t>
  </si>
  <si>
    <t>L00000024</t>
  </si>
  <si>
    <t>L00000025</t>
  </si>
  <si>
    <t>L00000026</t>
  </si>
  <si>
    <t>L00000027</t>
  </si>
  <si>
    <t>L00000028</t>
  </si>
  <si>
    <t>L00000029</t>
  </si>
  <si>
    <t>L00000030</t>
  </si>
  <si>
    <t>L00000031</t>
  </si>
  <si>
    <t>L00000032</t>
  </si>
  <si>
    <t>L00000033</t>
  </si>
  <si>
    <t>L00000034</t>
  </si>
  <si>
    <t>L00000035</t>
  </si>
  <si>
    <t>L00000036</t>
  </si>
  <si>
    <t>L00000037</t>
  </si>
  <si>
    <t>L00000038</t>
  </si>
  <si>
    <t>L00000039</t>
  </si>
  <si>
    <t>L00000040</t>
  </si>
  <si>
    <t>L00000041</t>
  </si>
  <si>
    <t>L00000042</t>
  </si>
  <si>
    <t>L00000043</t>
  </si>
  <si>
    <t>L00000044</t>
  </si>
  <si>
    <t>L00000045</t>
  </si>
  <si>
    <t>L00000046</t>
  </si>
  <si>
    <t>L00000047</t>
  </si>
  <si>
    <t>L00000048</t>
  </si>
  <si>
    <t>L00000049</t>
  </si>
  <si>
    <t>L00000050</t>
  </si>
  <si>
    <t>L00000051</t>
  </si>
  <si>
    <t>L00000052</t>
  </si>
  <si>
    <t>L00000053</t>
  </si>
  <si>
    <t>L00000054</t>
  </si>
  <si>
    <t>L00000055</t>
  </si>
  <si>
    <t>L00000056</t>
  </si>
  <si>
    <t>L00000057</t>
  </si>
  <si>
    <t>L00000058</t>
  </si>
  <si>
    <t>L00000059</t>
  </si>
  <si>
    <t>L00000060</t>
  </si>
  <si>
    <t>L00000061</t>
  </si>
  <si>
    <t>L00000062</t>
  </si>
  <si>
    <t>L00000063</t>
  </si>
  <si>
    <t>L00000064</t>
  </si>
  <si>
    <t>L00000065</t>
  </si>
  <si>
    <t>L00000066</t>
  </si>
  <si>
    <t>L00000067</t>
  </si>
  <si>
    <t>L00000068</t>
  </si>
  <si>
    <t>L00000069</t>
  </si>
  <si>
    <t>L00000070</t>
  </si>
  <si>
    <t>L00000071</t>
  </si>
  <si>
    <t>L00000072</t>
  </si>
  <si>
    <t>L00000073</t>
  </si>
  <si>
    <t>L00000074</t>
  </si>
  <si>
    <t>L00000075</t>
  </si>
  <si>
    <t>L00000076</t>
  </si>
  <si>
    <t>L00000077</t>
  </si>
  <si>
    <t>L00000078</t>
  </si>
  <si>
    <t>L00000079</t>
  </si>
  <si>
    <t>L00000080</t>
  </si>
  <si>
    <t>L00000081</t>
  </si>
  <si>
    <t>L00000082</t>
  </si>
  <si>
    <t>L00000083</t>
  </si>
  <si>
    <t>L00000084</t>
  </si>
  <si>
    <t>L00000085</t>
  </si>
  <si>
    <t>L00000086</t>
  </si>
  <si>
    <t>L00000087</t>
  </si>
  <si>
    <t>L00000088</t>
  </si>
  <si>
    <t>L00000089</t>
  </si>
  <si>
    <t>L00000090</t>
  </si>
  <si>
    <t>L00000091</t>
  </si>
  <si>
    <t>L00000092</t>
  </si>
  <si>
    <t>L00000093</t>
  </si>
  <si>
    <t>L00000094</t>
  </si>
  <si>
    <t>L00000095</t>
  </si>
  <si>
    <t>L00000096</t>
  </si>
  <si>
    <t>L00000097</t>
  </si>
  <si>
    <t>L00000098</t>
  </si>
  <si>
    <t>L00000099</t>
  </si>
  <si>
    <t>L00000100</t>
  </si>
  <si>
    <t>L00000101</t>
  </si>
  <si>
    <t>L00000102</t>
  </si>
  <si>
    <t>L00000103</t>
  </si>
  <si>
    <t>L00000104</t>
  </si>
  <si>
    <t>L00000105</t>
  </si>
  <si>
    <t>L00000106</t>
  </si>
  <si>
    <t>L00000107</t>
  </si>
  <si>
    <t>L00000108</t>
  </si>
  <si>
    <t>L00000109</t>
  </si>
  <si>
    <t>L00000110</t>
  </si>
  <si>
    <t>L00000111</t>
  </si>
  <si>
    <t>L00000112</t>
  </si>
  <si>
    <t>L00000113</t>
  </si>
  <si>
    <t>L00000114</t>
  </si>
  <si>
    <t>L00000115</t>
  </si>
  <si>
    <t>L00000116</t>
  </si>
  <si>
    <t>L00000117</t>
  </si>
  <si>
    <t>L00000118</t>
  </si>
  <si>
    <t>L00000119</t>
  </si>
  <si>
    <t>L00000120</t>
  </si>
  <si>
    <t>L00000121</t>
  </si>
  <si>
    <t>L00000122</t>
  </si>
  <si>
    <t>L00000123</t>
  </si>
  <si>
    <t>L00000124</t>
  </si>
  <si>
    <t>L00000125</t>
  </si>
  <si>
    <t>L00000126</t>
  </si>
  <si>
    <t>L00000127</t>
  </si>
  <si>
    <t>L00000128</t>
  </si>
  <si>
    <t>L00000129</t>
  </si>
  <si>
    <t>L00000130</t>
  </si>
  <si>
    <t>L00000131</t>
  </si>
  <si>
    <t>L00000132</t>
  </si>
  <si>
    <t>L00000133</t>
  </si>
  <si>
    <t>L00000134</t>
  </si>
  <si>
    <t>L00000135</t>
  </si>
  <si>
    <t>L00000136</t>
  </si>
  <si>
    <t>L00000137</t>
  </si>
  <si>
    <t>L00000138</t>
  </si>
  <si>
    <t>L00000139</t>
  </si>
  <si>
    <t>L00000140</t>
  </si>
  <si>
    <t>L00000141</t>
  </si>
  <si>
    <t>L00000142</t>
  </si>
  <si>
    <t>L00000143</t>
  </si>
  <si>
    <t>L00000144</t>
  </si>
  <si>
    <t>L00000145</t>
  </si>
  <si>
    <t>L00000146</t>
  </si>
  <si>
    <t>L00000147</t>
  </si>
  <si>
    <t>L00000148</t>
  </si>
  <si>
    <t>L00000149</t>
  </si>
  <si>
    <t>L00000150</t>
  </si>
  <si>
    <t>L00000151</t>
  </si>
  <si>
    <t>L00000152</t>
  </si>
  <si>
    <t>L00000153</t>
  </si>
  <si>
    <t>L00000154</t>
  </si>
  <si>
    <t>L00000155</t>
  </si>
  <si>
    <t>L00000156</t>
  </si>
  <si>
    <t>L00000157</t>
  </si>
  <si>
    <t>L00000158</t>
  </si>
  <si>
    <t>L00000159</t>
  </si>
  <si>
    <t>L00000160</t>
  </si>
  <si>
    <t>L00000161</t>
  </si>
  <si>
    <t>L00000162</t>
  </si>
  <si>
    <t>L00000163</t>
  </si>
  <si>
    <t>L00000164</t>
  </si>
  <si>
    <t>L00000165</t>
  </si>
  <si>
    <t>L00000166</t>
  </si>
  <si>
    <t>L00000167</t>
  </si>
  <si>
    <t>L00000168</t>
  </si>
  <si>
    <t>L00000169</t>
  </si>
  <si>
    <t>L00000170</t>
  </si>
  <si>
    <t>L00000171</t>
  </si>
  <si>
    <t>L00000172</t>
  </si>
  <si>
    <t>L00000173</t>
  </si>
  <si>
    <t>L00000174</t>
  </si>
  <si>
    <t>L00000175</t>
  </si>
  <si>
    <t>L00000176</t>
  </si>
  <si>
    <t>L00000177</t>
  </si>
  <si>
    <t>L00000178</t>
  </si>
  <si>
    <t>L00000179</t>
  </si>
  <si>
    <t>L00000180</t>
  </si>
  <si>
    <t>L00000181</t>
  </si>
  <si>
    <t>L00000182</t>
  </si>
  <si>
    <t>L00000183</t>
  </si>
  <si>
    <t>L00000184</t>
  </si>
  <si>
    <t>L00000185</t>
  </si>
  <si>
    <t>L00000186</t>
  </si>
  <si>
    <t>L00000187</t>
  </si>
  <si>
    <t>L00000188</t>
  </si>
  <si>
    <t>L00000189</t>
  </si>
  <si>
    <t>L00000190</t>
  </si>
  <si>
    <t>L00000191</t>
  </si>
  <si>
    <t>L00000192</t>
  </si>
  <si>
    <t>L00000193</t>
  </si>
  <si>
    <t>L00000194</t>
  </si>
  <si>
    <t>L00000195</t>
  </si>
  <si>
    <t>L00000196</t>
  </si>
  <si>
    <t>L00000197</t>
  </si>
  <si>
    <t>L00000198</t>
  </si>
  <si>
    <t>L00000199</t>
  </si>
  <si>
    <t>L00000200</t>
  </si>
  <si>
    <t>L00000201</t>
  </si>
  <si>
    <t>L00000202</t>
  </si>
  <si>
    <t>L00000203</t>
  </si>
  <si>
    <t>L00000204</t>
  </si>
  <si>
    <t>L00000205</t>
  </si>
  <si>
    <t>L00000206</t>
  </si>
  <si>
    <t>L00000207</t>
  </si>
  <si>
    <t>L00000208</t>
  </si>
  <si>
    <t>L00000209</t>
  </si>
  <si>
    <t>L00000210</t>
  </si>
  <si>
    <t>L00000211</t>
  </si>
  <si>
    <t>L00000212</t>
  </si>
  <si>
    <t>L00000213</t>
  </si>
  <si>
    <t>L00000214</t>
  </si>
  <si>
    <t>L00000215</t>
  </si>
  <si>
    <t>L00000216</t>
  </si>
  <si>
    <t>L00000217</t>
  </si>
  <si>
    <t>L00000218</t>
  </si>
  <si>
    <t>L00000219</t>
  </si>
  <si>
    <t>L00000220</t>
  </si>
  <si>
    <t>L00000221</t>
  </si>
  <si>
    <t>L00000222</t>
  </si>
  <si>
    <t>L00000223</t>
  </si>
  <si>
    <t>L00000224</t>
  </si>
  <si>
    <t>L00000225</t>
  </si>
  <si>
    <t>L00000226</t>
  </si>
  <si>
    <t>L00000227</t>
  </si>
  <si>
    <t>L00000228</t>
  </si>
  <si>
    <t>L00000229</t>
  </si>
  <si>
    <t>L00000230</t>
  </si>
  <si>
    <t>L00000231</t>
  </si>
  <si>
    <t>L00000232</t>
  </si>
  <si>
    <t>L00000233</t>
  </si>
  <si>
    <t>L00000234</t>
  </si>
  <si>
    <t>L00000235</t>
  </si>
  <si>
    <t>L00000236</t>
  </si>
  <si>
    <t>L00000237</t>
  </si>
  <si>
    <t>L00000238</t>
  </si>
  <si>
    <t>L00000239</t>
  </si>
  <si>
    <t>L00000240</t>
  </si>
  <si>
    <t>L00000241</t>
  </si>
  <si>
    <t>L00000242</t>
  </si>
  <si>
    <t>L00000243</t>
  </si>
  <si>
    <t>L00000244</t>
  </si>
  <si>
    <t>L00000245</t>
  </si>
  <si>
    <t>L00000246</t>
  </si>
  <si>
    <t>L00000247</t>
  </si>
  <si>
    <t>L00000248</t>
  </si>
  <si>
    <t>L00000249</t>
  </si>
  <si>
    <t>L00000250</t>
  </si>
  <si>
    <t>L00000251</t>
  </si>
  <si>
    <t>L00000252</t>
  </si>
  <si>
    <t>L00000253</t>
  </si>
  <si>
    <t>L00000254</t>
  </si>
  <si>
    <t>L00000255</t>
  </si>
  <si>
    <t>L00000256</t>
  </si>
  <si>
    <t>L00000257</t>
  </si>
  <si>
    <t>L00000258</t>
  </si>
  <si>
    <t>L00000259</t>
  </si>
  <si>
    <t>L00000260</t>
  </si>
  <si>
    <t>L00000261</t>
  </si>
  <si>
    <t>L00000262</t>
  </si>
  <si>
    <t>L00000263</t>
  </si>
  <si>
    <t>L00000264</t>
  </si>
  <si>
    <t>L00000265</t>
  </si>
  <si>
    <t>L00000266</t>
  </si>
  <si>
    <t>L00000267</t>
  </si>
  <si>
    <t>L00000268</t>
  </si>
  <si>
    <t>L00000269</t>
  </si>
  <si>
    <t>L00000270</t>
  </si>
  <si>
    <t>L00000271</t>
  </si>
  <si>
    <t>L00000272</t>
  </si>
  <si>
    <t>L00000273</t>
  </si>
  <si>
    <t>L00000274</t>
  </si>
  <si>
    <t>L00000275</t>
  </si>
  <si>
    <t>L00000276</t>
  </si>
  <si>
    <t>L00000277</t>
  </si>
  <si>
    <t>L00000278</t>
  </si>
  <si>
    <t>L00000279</t>
  </si>
  <si>
    <t>L00000280</t>
  </si>
  <si>
    <t>L00000281</t>
  </si>
  <si>
    <t>L00000282</t>
  </si>
  <si>
    <t>L00000283</t>
  </si>
  <si>
    <t>L00000284</t>
  </si>
  <si>
    <t>L00000285</t>
  </si>
  <si>
    <t>L00000286</t>
  </si>
  <si>
    <t>L00000287</t>
  </si>
  <si>
    <t>L00000288</t>
  </si>
  <si>
    <t>L00000289</t>
  </si>
  <si>
    <t>L00000290</t>
  </si>
  <si>
    <t>L00000291</t>
  </si>
  <si>
    <t>L00000292</t>
  </si>
  <si>
    <t>L00000293</t>
  </si>
  <si>
    <t>L00000294</t>
  </si>
  <si>
    <t>L00000295</t>
  </si>
  <si>
    <t>L00000296</t>
  </si>
  <si>
    <t>L00000297</t>
  </si>
  <si>
    <t>L00000298</t>
  </si>
  <si>
    <t>L00000299</t>
  </si>
  <si>
    <t>L00000300</t>
  </si>
  <si>
    <t>L00000301</t>
  </si>
  <si>
    <t>L00000302</t>
  </si>
  <si>
    <t>L00000303</t>
  </si>
  <si>
    <t>L00000304</t>
  </si>
  <si>
    <t>L00000305</t>
  </si>
  <si>
    <t>L00000306</t>
  </si>
  <si>
    <t>L00000307</t>
  </si>
  <si>
    <t>L00000308</t>
  </si>
  <si>
    <t>L00000309</t>
  </si>
  <si>
    <t>L00000310</t>
  </si>
  <si>
    <t>L00000311</t>
  </si>
  <si>
    <t>L00000312</t>
  </si>
  <si>
    <t>L00000313</t>
  </si>
  <si>
    <t>L00000314</t>
  </si>
  <si>
    <t>L00000315</t>
  </si>
  <si>
    <t>L00000316</t>
  </si>
  <si>
    <t>L00000317</t>
  </si>
  <si>
    <t>L00000318</t>
  </si>
  <si>
    <t>L00000319</t>
  </si>
  <si>
    <t>L00000320</t>
  </si>
  <si>
    <t>L00000321</t>
  </si>
  <si>
    <t>L00000322</t>
  </si>
  <si>
    <t>L00000323</t>
  </si>
  <si>
    <t>L00000324</t>
  </si>
  <si>
    <t>L00000325</t>
  </si>
  <si>
    <t>L00000326</t>
  </si>
  <si>
    <t>L00000327</t>
  </si>
  <si>
    <t>L00000328</t>
  </si>
  <si>
    <t>L00000329</t>
  </si>
  <si>
    <t>L00000330</t>
  </si>
  <si>
    <t>L00000331</t>
  </si>
  <si>
    <t>L00000332</t>
  </si>
  <si>
    <t>L00000333</t>
  </si>
  <si>
    <t>L00000334</t>
  </si>
  <si>
    <t>L00000335</t>
  </si>
  <si>
    <t>L00000336</t>
  </si>
  <si>
    <t>L00000337</t>
  </si>
  <si>
    <t>L00000338</t>
  </si>
  <si>
    <t>L00000339</t>
  </si>
  <si>
    <t>L00000340</t>
  </si>
  <si>
    <t>L00000341</t>
  </si>
  <si>
    <t>L00000342</t>
  </si>
  <si>
    <t>L00000343</t>
  </si>
  <si>
    <t>L00000344</t>
  </si>
  <si>
    <t>L00000345</t>
  </si>
  <si>
    <t>L00000346</t>
  </si>
  <si>
    <t>L00000347</t>
  </si>
  <si>
    <t>L00000348</t>
  </si>
  <si>
    <t>L00000349</t>
  </si>
  <si>
    <t>L00000350</t>
  </si>
  <si>
    <t>L00000351</t>
  </si>
  <si>
    <t>L00000352</t>
  </si>
  <si>
    <t>L00000353</t>
  </si>
  <si>
    <t>L00000354</t>
  </si>
  <si>
    <t>L00000355</t>
  </si>
  <si>
    <t>L00000356</t>
  </si>
  <si>
    <t>L00000357</t>
  </si>
  <si>
    <t>L00000358</t>
  </si>
  <si>
    <t>L00000359</t>
  </si>
  <si>
    <t>L00000360</t>
  </si>
  <si>
    <t>L00000361</t>
  </si>
  <si>
    <t>L00000362</t>
  </si>
  <si>
    <t>L00000363</t>
  </si>
  <si>
    <t>L00000364</t>
  </si>
  <si>
    <t>L00000365</t>
  </si>
  <si>
    <t>L00000366</t>
  </si>
  <si>
    <t>L00000367</t>
  </si>
  <si>
    <t>L00000368</t>
  </si>
  <si>
    <t>L00000369</t>
  </si>
  <si>
    <t>L00000370</t>
  </si>
  <si>
    <t>L00000371</t>
  </si>
  <si>
    <t>L00000372</t>
  </si>
  <si>
    <t>L00000373</t>
  </si>
  <si>
    <t>L00000374</t>
  </si>
  <si>
    <t>L00000375</t>
  </si>
  <si>
    <t>L00000376</t>
  </si>
  <si>
    <t>L00000377</t>
  </si>
  <si>
    <t>L00000378</t>
  </si>
  <si>
    <t>L00000379</t>
  </si>
  <si>
    <t>L00000380</t>
  </si>
  <si>
    <t>L00000381</t>
  </si>
  <si>
    <t>L00000382</t>
  </si>
  <si>
    <t>L00000383</t>
  </si>
  <si>
    <t>L00000384</t>
  </si>
  <si>
    <t>L00000385</t>
  </si>
  <si>
    <t>L00000386</t>
  </si>
  <si>
    <t>L00000387</t>
  </si>
  <si>
    <t>L00000388</t>
  </si>
  <si>
    <t>L00000389</t>
  </si>
  <si>
    <t>L00000390</t>
  </si>
  <si>
    <t>L00000391</t>
  </si>
  <si>
    <t>L00000392</t>
  </si>
  <si>
    <t>L00000393</t>
  </si>
  <si>
    <t>L00000394</t>
  </si>
  <si>
    <t>L00000395</t>
  </si>
  <si>
    <t>L00000396</t>
  </si>
  <si>
    <t>L00000397</t>
  </si>
  <si>
    <t>L00000398</t>
  </si>
  <si>
    <t>L00000399</t>
  </si>
  <si>
    <t>L00000400</t>
  </si>
  <si>
    <t>L00000401</t>
  </si>
  <si>
    <t>L00000402</t>
  </si>
  <si>
    <t>L00000403</t>
  </si>
  <si>
    <t>L00000404</t>
  </si>
  <si>
    <t>L00000405</t>
  </si>
  <si>
    <t>L00000406</t>
  </si>
  <si>
    <t>L00000407</t>
  </si>
  <si>
    <t>L00000408</t>
  </si>
  <si>
    <t>L00000409</t>
  </si>
  <si>
    <t>L00000410</t>
  </si>
  <si>
    <t>L00000411</t>
  </si>
  <si>
    <t>L00000412</t>
  </si>
  <si>
    <t>L00000413</t>
  </si>
  <si>
    <t>L00000414</t>
  </si>
  <si>
    <t>L00000415</t>
  </si>
  <si>
    <t>L00000416</t>
  </si>
  <si>
    <t>L00000417</t>
  </si>
  <si>
    <t>L00000418</t>
  </si>
  <si>
    <t>L00000419</t>
  </si>
  <si>
    <t>L00000420</t>
  </si>
  <si>
    <t>L00000421</t>
  </si>
  <si>
    <t>L00000422</t>
  </si>
  <si>
    <t>L00000423</t>
  </si>
  <si>
    <t>L00000424</t>
  </si>
  <si>
    <t>L00000425</t>
  </si>
  <si>
    <t>L00000426</t>
  </si>
  <si>
    <t>L00000427</t>
  </si>
  <si>
    <t>L00000428</t>
  </si>
  <si>
    <t>L00000429</t>
  </si>
  <si>
    <t>L00000430</t>
  </si>
  <si>
    <t>L00000431</t>
  </si>
  <si>
    <t>L00000432</t>
  </si>
  <si>
    <t>L00000433</t>
  </si>
  <si>
    <t>L00000434</t>
  </si>
  <si>
    <t>L00000435</t>
  </si>
  <si>
    <t>L00000436</t>
  </si>
  <si>
    <t>L00000437</t>
  </si>
  <si>
    <t>L00000438</t>
  </si>
  <si>
    <t>L00000439</t>
  </si>
  <si>
    <t>L00000440</t>
  </si>
  <si>
    <t>L00000441</t>
  </si>
  <si>
    <t>L00000442</t>
  </si>
  <si>
    <t>L00000443</t>
  </si>
  <si>
    <t>L00000444</t>
  </si>
  <si>
    <t>L00000445</t>
  </si>
  <si>
    <t>L00000446</t>
  </si>
  <si>
    <t>L00000447</t>
  </si>
  <si>
    <t>L00000448</t>
  </si>
  <si>
    <t>L00000449</t>
  </si>
  <si>
    <t>L00000450</t>
  </si>
  <si>
    <t>L00000451</t>
  </si>
  <si>
    <t>L00000452</t>
  </si>
  <si>
    <t>L00000453</t>
  </si>
  <si>
    <t>L00000454</t>
  </si>
  <si>
    <t>L00000455</t>
  </si>
  <si>
    <t>L00000456</t>
  </si>
  <si>
    <t>L00000457</t>
  </si>
  <si>
    <t>L00000458</t>
  </si>
  <si>
    <t>L00000459</t>
  </si>
  <si>
    <t>L00000460</t>
  </si>
  <si>
    <t>L00000461</t>
  </si>
  <si>
    <t>L00000462</t>
  </si>
  <si>
    <t>L00000463</t>
  </si>
  <si>
    <t>L00000464</t>
  </si>
  <si>
    <t>L00000465</t>
  </si>
  <si>
    <t>L00000466</t>
  </si>
  <si>
    <t>L00000467</t>
  </si>
  <si>
    <t>L00000468</t>
  </si>
  <si>
    <t>L00000469</t>
  </si>
  <si>
    <t>L00000470</t>
  </si>
  <si>
    <t>L00000471</t>
  </si>
  <si>
    <t>L00000472</t>
  </si>
  <si>
    <t>L00000473</t>
  </si>
  <si>
    <t>L00000474</t>
  </si>
  <si>
    <t>L00000475</t>
  </si>
  <si>
    <t>L00000476</t>
  </si>
  <si>
    <t>L00000477</t>
  </si>
  <si>
    <t>L00000478</t>
  </si>
  <si>
    <t>L00000479</t>
  </si>
  <si>
    <t>L00000480</t>
  </si>
  <si>
    <t>L00000481</t>
  </si>
  <si>
    <t>L00000482</t>
  </si>
  <si>
    <t>L00000483</t>
  </si>
  <si>
    <t>L00000484</t>
  </si>
  <si>
    <t>L00000485</t>
  </si>
  <si>
    <t>L00000486</t>
  </si>
  <si>
    <t>L00000487</t>
  </si>
  <si>
    <t>L00000488</t>
  </si>
  <si>
    <t>L00000489</t>
  </si>
  <si>
    <t>L00000490</t>
  </si>
  <si>
    <t>L00000491</t>
  </si>
  <si>
    <t>L00000492</t>
  </si>
  <si>
    <t>L00000493</t>
  </si>
  <si>
    <t>L00000494</t>
  </si>
  <si>
    <t>L00000495</t>
  </si>
  <si>
    <t>L00000496</t>
  </si>
  <si>
    <t>L00000497</t>
  </si>
  <si>
    <t>L00000498</t>
  </si>
  <si>
    <t>L00000499</t>
  </si>
  <si>
    <t>L00000500</t>
  </si>
  <si>
    <t>L00000501</t>
  </si>
  <si>
    <t>L00000502</t>
  </si>
  <si>
    <t>L00000503</t>
  </si>
  <si>
    <t>L00000504</t>
  </si>
  <si>
    <t>L00000505</t>
  </si>
  <si>
    <t>L00000506</t>
  </si>
  <si>
    <t>L00000507</t>
  </si>
  <si>
    <t>L00000508</t>
  </si>
  <si>
    <t>L00000509</t>
  </si>
  <si>
    <t>L00000510</t>
  </si>
  <si>
    <t>L00000511</t>
  </si>
  <si>
    <t>L00000512</t>
  </si>
  <si>
    <t>L00000513</t>
  </si>
  <si>
    <t>L00000514</t>
  </si>
  <si>
    <t>L00000515</t>
  </si>
  <si>
    <t>L00000516</t>
  </si>
  <si>
    <t>L00000517</t>
  </si>
  <si>
    <t>L00000518</t>
  </si>
  <si>
    <t>L00000519</t>
  </si>
  <si>
    <t>L00000520</t>
  </si>
  <si>
    <t>L00000521</t>
  </si>
  <si>
    <t>L00000522</t>
  </si>
  <si>
    <t>L00000523</t>
  </si>
  <si>
    <t>L00000524</t>
  </si>
  <si>
    <t>L00000525</t>
  </si>
  <si>
    <t>L00000526</t>
  </si>
  <si>
    <t>L00000527</t>
  </si>
  <si>
    <t>L00000528</t>
  </si>
  <si>
    <t>L00000529</t>
  </si>
  <si>
    <t>L00000530</t>
  </si>
  <si>
    <t>L00000531</t>
  </si>
  <si>
    <t>L00000532</t>
  </si>
  <si>
    <t>L00000533</t>
  </si>
  <si>
    <t>L00000534</t>
  </si>
  <si>
    <t>L00000535</t>
  </si>
  <si>
    <t>L00000536</t>
  </si>
  <si>
    <t>L00000537</t>
  </si>
  <si>
    <t>L00000538</t>
  </si>
  <si>
    <t>L00000539</t>
  </si>
  <si>
    <t>L00000540</t>
  </si>
  <si>
    <t>L00000541</t>
  </si>
  <si>
    <t>L00000542</t>
  </si>
  <si>
    <t>L00000543</t>
  </si>
  <si>
    <t>L00000544</t>
  </si>
  <si>
    <t>L00000545</t>
  </si>
  <si>
    <t>L00000546</t>
  </si>
  <si>
    <t>L00000547</t>
  </si>
  <si>
    <t>L00000548</t>
  </si>
  <si>
    <t>L00000549</t>
  </si>
  <si>
    <t>L00000550</t>
  </si>
  <si>
    <t>L00000551</t>
  </si>
  <si>
    <t>L00000552</t>
  </si>
  <si>
    <t>L00000553</t>
  </si>
  <si>
    <t>L00000554</t>
  </si>
  <si>
    <t>L00000555</t>
  </si>
  <si>
    <t>L00000556</t>
  </si>
  <si>
    <t>L00000557</t>
  </si>
  <si>
    <t>L00000558</t>
  </si>
  <si>
    <t>L00000559</t>
  </si>
  <si>
    <t>L00000560</t>
  </si>
  <si>
    <t>L00000561</t>
  </si>
  <si>
    <t>L00000562</t>
  </si>
  <si>
    <t>L00000563</t>
  </si>
  <si>
    <t>L00000564</t>
  </si>
  <si>
    <t>L00000565</t>
  </si>
  <si>
    <t>L00000566</t>
  </si>
  <si>
    <t>L00000567</t>
  </si>
  <si>
    <t>L00000568</t>
  </si>
  <si>
    <t>L00000569</t>
  </si>
  <si>
    <t>L00000570</t>
  </si>
  <si>
    <t>L00000571</t>
  </si>
  <si>
    <t>L00000572</t>
  </si>
  <si>
    <t>L00000573</t>
  </si>
  <si>
    <t>L00000574</t>
  </si>
  <si>
    <t>L00000575</t>
  </si>
  <si>
    <t>L00000576</t>
  </si>
  <si>
    <t>L00000577</t>
  </si>
  <si>
    <t>L00000578</t>
  </si>
  <si>
    <t>L00000579</t>
  </si>
  <si>
    <t>L00000580</t>
  </si>
  <si>
    <t>L00000581</t>
  </si>
  <si>
    <t>L00000582</t>
  </si>
  <si>
    <t>L00000583</t>
  </si>
  <si>
    <t>L00000584</t>
  </si>
  <si>
    <t>L00000585</t>
  </si>
  <si>
    <t>L00000586</t>
  </si>
  <si>
    <t>L00000587</t>
  </si>
  <si>
    <t>L00000588</t>
  </si>
  <si>
    <t>L00000589</t>
  </si>
  <si>
    <t>L00000590</t>
  </si>
  <si>
    <t>L00000591</t>
  </si>
  <si>
    <t>L00000592</t>
  </si>
  <si>
    <t>L00000593</t>
  </si>
  <si>
    <t>L00000594</t>
  </si>
  <si>
    <t>L00000595</t>
  </si>
  <si>
    <t>L00000596</t>
  </si>
  <si>
    <t>L00000597</t>
  </si>
  <si>
    <t>L00000598</t>
  </si>
  <si>
    <t>L00000599</t>
  </si>
  <si>
    <t>L00000600</t>
  </si>
  <si>
    <t>L00000601</t>
  </si>
  <si>
    <t>L00000602</t>
  </si>
  <si>
    <t>L00000603</t>
  </si>
  <si>
    <t>L00000604</t>
  </si>
  <si>
    <t>L00000605</t>
  </si>
  <si>
    <t>L00000606</t>
  </si>
  <si>
    <t>L00000607</t>
  </si>
  <si>
    <t>L00000608</t>
  </si>
  <si>
    <t>L00000609</t>
  </si>
  <si>
    <t>L00000610</t>
  </si>
  <si>
    <t>L00000611</t>
  </si>
  <si>
    <t>L00000612</t>
  </si>
  <si>
    <t>L00000613</t>
  </si>
  <si>
    <t>L00000614</t>
  </si>
  <si>
    <t>L00000615</t>
  </si>
  <si>
    <t>L00000616</t>
  </si>
  <si>
    <t>L00000617</t>
  </si>
  <si>
    <t>L00000618</t>
  </si>
  <si>
    <t>L00000619</t>
  </si>
  <si>
    <t>L00000620</t>
  </si>
  <si>
    <t>L00000621</t>
  </si>
  <si>
    <t>L00000622</t>
  </si>
  <si>
    <t>L00000623</t>
  </si>
  <si>
    <t>L00000624</t>
  </si>
  <si>
    <t>L00000625</t>
  </si>
  <si>
    <t>L00000626</t>
  </si>
  <si>
    <t>L00000627</t>
  </si>
  <si>
    <t>L00000628</t>
  </si>
  <si>
    <t>L00000629</t>
  </si>
  <si>
    <t>L00000630</t>
  </si>
  <si>
    <t>L00000631</t>
  </si>
  <si>
    <t>L00000632</t>
  </si>
  <si>
    <t>L00000633</t>
  </si>
  <si>
    <t>L00000634</t>
  </si>
  <si>
    <t>L00000635</t>
  </si>
  <si>
    <t>L00000636</t>
  </si>
  <si>
    <t>L00000637</t>
  </si>
  <si>
    <t>L00000638</t>
  </si>
  <si>
    <t>L00000639</t>
  </si>
  <si>
    <t>L00000640</t>
  </si>
  <si>
    <t>L00000641</t>
  </si>
  <si>
    <t>L00000642</t>
  </si>
  <si>
    <t>L00000643</t>
  </si>
  <si>
    <t>L00000644</t>
  </si>
  <si>
    <t>L00000645</t>
  </si>
  <si>
    <t>L00000646</t>
  </si>
  <si>
    <t>L00000647</t>
  </si>
  <si>
    <t>L00000648</t>
  </si>
  <si>
    <t>L00000649</t>
  </si>
  <si>
    <t>L00000650</t>
  </si>
  <si>
    <t>L00000651</t>
  </si>
  <si>
    <t>L00000652</t>
  </si>
  <si>
    <t>L00000653</t>
  </si>
  <si>
    <t>L00000654</t>
  </si>
  <si>
    <t>L00000655</t>
  </si>
  <si>
    <t>L00000656</t>
  </si>
  <si>
    <t>L00000657</t>
  </si>
  <si>
    <t>L00000658</t>
  </si>
  <si>
    <t>L00000659</t>
  </si>
  <si>
    <t>L00000660</t>
  </si>
  <si>
    <t>L00000661</t>
  </si>
  <si>
    <t>L00000662</t>
  </si>
  <si>
    <t>L00000663</t>
  </si>
  <si>
    <t>L00000664</t>
  </si>
  <si>
    <t>L00000665</t>
  </si>
  <si>
    <t>L00000666</t>
  </si>
  <si>
    <t>L00000667</t>
  </si>
  <si>
    <t>L00000668</t>
  </si>
  <si>
    <t>L00000669</t>
  </si>
  <si>
    <t>L00000670</t>
  </si>
  <si>
    <t>L00000671</t>
  </si>
  <si>
    <t>L00000672</t>
  </si>
  <si>
    <t>L00000673</t>
  </si>
  <si>
    <t>L00000674</t>
  </si>
  <si>
    <t>L00000675</t>
  </si>
  <si>
    <t>L00000676</t>
  </si>
  <si>
    <t>L00000677</t>
  </si>
  <si>
    <t>L00000678</t>
  </si>
  <si>
    <t>L00000679</t>
  </si>
  <si>
    <t>L00000680</t>
  </si>
  <si>
    <t>L00000681</t>
  </si>
  <si>
    <t>L00000682</t>
  </si>
  <si>
    <t>L00000683</t>
  </si>
  <si>
    <t>L00000684</t>
  </si>
  <si>
    <t>L00000685</t>
  </si>
  <si>
    <t>L00000686</t>
  </si>
  <si>
    <t>L00000687</t>
  </si>
  <si>
    <t>L00000688</t>
  </si>
  <si>
    <t>L00000689</t>
  </si>
  <si>
    <t>L00000690</t>
  </si>
  <si>
    <t>L00000691</t>
  </si>
  <si>
    <t>L00000692</t>
  </si>
  <si>
    <t>L00000693</t>
  </si>
  <si>
    <t>L00000694</t>
  </si>
  <si>
    <t>L00000695</t>
  </si>
  <si>
    <t>L00000696</t>
  </si>
  <si>
    <t>L00000697</t>
  </si>
  <si>
    <t>L00000698</t>
  </si>
  <si>
    <t>L00000699</t>
  </si>
  <si>
    <t>L00000700</t>
  </si>
  <si>
    <t>L00000701</t>
  </si>
  <si>
    <t>L00000702</t>
  </si>
  <si>
    <t>L00000703</t>
  </si>
  <si>
    <t>L00000704</t>
  </si>
  <si>
    <t>L00000705</t>
  </si>
  <si>
    <t>L00000706</t>
  </si>
  <si>
    <t>L00000707</t>
  </si>
  <si>
    <t>L00000708</t>
  </si>
  <si>
    <t>L00000709</t>
  </si>
  <si>
    <t>L00000710</t>
  </si>
  <si>
    <t>L00000711</t>
  </si>
  <si>
    <t>L00000712</t>
  </si>
  <si>
    <t>L00000713</t>
  </si>
  <si>
    <t>L00000714</t>
  </si>
  <si>
    <t>L00000715</t>
  </si>
  <si>
    <t>L00000716</t>
  </si>
  <si>
    <t>L00000717</t>
  </si>
  <si>
    <t>L00000718</t>
  </si>
  <si>
    <t>L00000719</t>
  </si>
  <si>
    <t>L00000720</t>
  </si>
  <si>
    <t>L00000721</t>
  </si>
  <si>
    <t>L00000722</t>
  </si>
  <si>
    <t>L00000723</t>
  </si>
  <si>
    <t>L00000724</t>
  </si>
  <si>
    <t>L00000725</t>
  </si>
  <si>
    <t>L00000726</t>
  </si>
  <si>
    <t>L00000727</t>
  </si>
  <si>
    <t>L00000728</t>
  </si>
  <si>
    <t>L00000729</t>
  </si>
  <si>
    <t>L00000730</t>
  </si>
  <si>
    <t>L00000731</t>
  </si>
  <si>
    <t>L00000732</t>
  </si>
  <si>
    <t>L00000733</t>
  </si>
  <si>
    <t>L00000734</t>
  </si>
  <si>
    <t>L00000735</t>
  </si>
  <si>
    <t>L00000736</t>
  </si>
  <si>
    <t>L00000737</t>
  </si>
  <si>
    <t>L00000738</t>
  </si>
  <si>
    <t>L00000739</t>
  </si>
  <si>
    <t>L00000740</t>
  </si>
  <si>
    <t>L00000741</t>
  </si>
  <si>
    <t>L00000742</t>
  </si>
  <si>
    <t>L00000743</t>
  </si>
  <si>
    <t>L00000744</t>
  </si>
  <si>
    <t>L00000745</t>
  </si>
  <si>
    <t>L00000746</t>
  </si>
  <si>
    <t>L00000747</t>
  </si>
  <si>
    <t>L00000748</t>
  </si>
  <si>
    <t>L00000749</t>
  </si>
  <si>
    <t>L00000750</t>
  </si>
  <si>
    <t>L00000751</t>
  </si>
  <si>
    <t>L00000752</t>
  </si>
  <si>
    <t>L00000753</t>
  </si>
  <si>
    <t>L00000754</t>
  </si>
  <si>
    <t>L00000755</t>
  </si>
  <si>
    <t>L00000756</t>
  </si>
  <si>
    <t>L00000757</t>
  </si>
  <si>
    <t>L00000758</t>
  </si>
  <si>
    <t>L00000759</t>
  </si>
  <si>
    <t>L00000760</t>
  </si>
  <si>
    <t>L00000761</t>
  </si>
  <si>
    <t>L00000762</t>
  </si>
  <si>
    <t>L00000763</t>
  </si>
  <si>
    <t>L00000764</t>
  </si>
  <si>
    <t>L00000765</t>
  </si>
  <si>
    <t>L00000766</t>
  </si>
  <si>
    <t>L00000767</t>
  </si>
  <si>
    <t>L00000768</t>
  </si>
  <si>
    <t>L00000769</t>
  </si>
  <si>
    <t>L00000770</t>
  </si>
  <si>
    <t>L00000771</t>
  </si>
  <si>
    <t>L00000772</t>
  </si>
  <si>
    <t>L00000773</t>
  </si>
  <si>
    <t>L00000774</t>
  </si>
  <si>
    <t>L00000775</t>
  </si>
  <si>
    <t>L00000776</t>
  </si>
  <si>
    <t>L00000777</t>
  </si>
  <si>
    <t>L00000778</t>
  </si>
  <si>
    <t>L00000779</t>
  </si>
  <si>
    <t>L00000780</t>
  </si>
  <si>
    <t>L00000781</t>
  </si>
  <si>
    <t>L00000782</t>
  </si>
  <si>
    <t>L00000783</t>
  </si>
  <si>
    <t>L00000784</t>
  </si>
  <si>
    <t>L00000785</t>
  </si>
  <si>
    <t>L00000786</t>
  </si>
  <si>
    <t>L00000787</t>
  </si>
  <si>
    <t>L00000788</t>
  </si>
  <si>
    <t>L00000789</t>
  </si>
  <si>
    <t>L00000790</t>
  </si>
  <si>
    <t>L00000791</t>
  </si>
  <si>
    <t>L00000792</t>
  </si>
  <si>
    <t>L00000793</t>
  </si>
  <si>
    <t>L00000794</t>
  </si>
  <si>
    <t>L00000795</t>
  </si>
  <si>
    <t>L00000796</t>
  </si>
  <si>
    <t>L00000797</t>
  </si>
  <si>
    <t>L00000798</t>
  </si>
  <si>
    <t>L00000799</t>
  </si>
  <si>
    <t>L00000800</t>
  </si>
  <si>
    <t>L00000801</t>
  </si>
  <si>
    <t>L00000802</t>
  </si>
  <si>
    <t>L00000803</t>
  </si>
  <si>
    <t>L00000804</t>
  </si>
  <si>
    <t>L00000805</t>
  </si>
  <si>
    <t>L00000806</t>
  </si>
  <si>
    <t>L00000807</t>
  </si>
  <si>
    <t>L00000808</t>
  </si>
  <si>
    <t>L00000809</t>
  </si>
  <si>
    <t>L00000810</t>
  </si>
  <si>
    <t>L00000811</t>
  </si>
  <si>
    <t>L00000812</t>
  </si>
  <si>
    <t>L00000813</t>
  </si>
  <si>
    <t>L00000814</t>
  </si>
  <si>
    <t>L00000815</t>
  </si>
  <si>
    <t>L00000816</t>
  </si>
  <si>
    <t>L00000817</t>
  </si>
  <si>
    <t>L00000818</t>
  </si>
  <si>
    <t>L00000819</t>
  </si>
  <si>
    <t>L00000820</t>
  </si>
  <si>
    <t>L00000821</t>
  </si>
  <si>
    <t>L00000822</t>
  </si>
  <si>
    <t>L00000823</t>
  </si>
  <si>
    <t>L00000824</t>
  </si>
  <si>
    <t>L00000825</t>
  </si>
  <si>
    <t>L00000826</t>
  </si>
  <si>
    <t>L00000827</t>
  </si>
  <si>
    <t>L00000828</t>
  </si>
  <si>
    <t>L00000829</t>
  </si>
  <si>
    <t>L00000830</t>
  </si>
  <si>
    <t>L00000831</t>
  </si>
  <si>
    <t>L00000832</t>
  </si>
  <si>
    <t>L00000833</t>
  </si>
  <si>
    <t>L00000834</t>
  </si>
  <si>
    <t>L00000835</t>
  </si>
  <si>
    <t>L00000836</t>
  </si>
  <si>
    <t>L00000837</t>
  </si>
  <si>
    <t>L00000838</t>
  </si>
  <si>
    <t>L00000839</t>
  </si>
  <si>
    <t>L00000840</t>
  </si>
  <si>
    <t>L00000841</t>
  </si>
  <si>
    <t>L00000842</t>
  </si>
  <si>
    <t>L00000843</t>
  </si>
  <si>
    <t>L00000844</t>
  </si>
  <si>
    <t>L00000845</t>
  </si>
  <si>
    <t>L00000846</t>
  </si>
  <si>
    <t>M</t>
  </si>
  <si>
    <t>KIT</t>
  </si>
  <si>
    <t xml:space="preserve">HIDROXIDO DE SODIO LIQUIDA_TAMBOR X 1000KG - 50% </t>
  </si>
  <si>
    <t>ACIDO NITRICO_LIQUIDO X 25KG</t>
  </si>
  <si>
    <t>TRANSPORTADORA</t>
  </si>
  <si>
    <t>PARQUE INDUSTRIAL LOGIKA MADRID-PACTIA S.A.S</t>
  </si>
  <si>
    <t>YANBAL TENJO/YANBAL DE COLOMBIA S.A.S</t>
  </si>
  <si>
    <t>UNIVERSIDAD EL BOSQUE</t>
  </si>
  <si>
    <t>BETANIA COLOMBIA S.A.S/PARQUE INDUSTRIAL SAN CARLOS V</t>
  </si>
  <si>
    <t>CLIENTE</t>
  </si>
  <si>
    <t>RAZON SOCIAL</t>
  </si>
  <si>
    <t>CIUDAD</t>
  </si>
  <si>
    <t>TIPO DE AGUA</t>
  </si>
  <si>
    <t xml:space="preserve">ECOSERVICIOS </t>
  </si>
  <si>
    <t>MADRID</t>
  </si>
  <si>
    <t>TENJO</t>
  </si>
  <si>
    <t>BOGOTA</t>
  </si>
  <si>
    <t>FUNZA</t>
  </si>
  <si>
    <t>PACTIA  SAS</t>
  </si>
  <si>
    <t>YANBAL DE COLOMBIA S.A.S. en adelante “YANBAL”</t>
  </si>
  <si>
    <t>BETANIA DE COLOMBIA  S.A.S</t>
  </si>
  <si>
    <t>ECOSERVICIOS DE OCCIDENTE S.A.S E.S.P</t>
  </si>
  <si>
    <t>jgualtero@pactia.com</t>
  </si>
  <si>
    <t>Katherine.Albarracin@yanbal.com - Liseth Barahona&lt;Liseth.Barahona@yanbal.com</t>
  </si>
  <si>
    <t>millanalexander@unbosque.edu.co</t>
  </si>
  <si>
    <t xml:space="preserve">sfranco@agrobetania.com.co 
</t>
  </si>
  <si>
    <t>comercial2@ecoserviciosdeoccidente.com</t>
  </si>
  <si>
    <t xml:space="preserve">JUAN CARLOS GUALTEROS </t>
  </si>
  <si>
    <t>KATHERINE ALBARRACIN - LISETH BARAHONA</t>
  </si>
  <si>
    <t xml:space="preserve">JHON MILLAN </t>
  </si>
  <si>
    <t>C00000001</t>
  </si>
  <si>
    <t>C00000002</t>
  </si>
  <si>
    <t>C00000003</t>
  </si>
  <si>
    <t>C00000004</t>
  </si>
  <si>
    <t>C00000005</t>
  </si>
  <si>
    <t>POZO SEPTICO</t>
  </si>
  <si>
    <t>ARnD &lt;20%</t>
  </si>
  <si>
    <t>CANTIDAD PROMEDIO KG</t>
  </si>
  <si>
    <t>SONIA FRANCO</t>
  </si>
  <si>
    <t>TATIANA DUEÑAS</t>
  </si>
  <si>
    <t>EL ROSAL</t>
  </si>
  <si>
    <t>RAMGUZ SAS</t>
  </si>
  <si>
    <t>FILTERBAG</t>
  </si>
  <si>
    <t>P0010</t>
  </si>
  <si>
    <t>RAMGUZ</t>
  </si>
  <si>
    <t>301 2162287</t>
  </si>
  <si>
    <t>Carrera 55B #79B–40,Bogotá, Colombia</t>
  </si>
  <si>
    <t>servicioalcliente@ramguz.com.co</t>
  </si>
  <si>
    <t>Ramguz</t>
  </si>
  <si>
    <t>PROCESO:</t>
  </si>
  <si>
    <t>$ (kg)</t>
  </si>
  <si>
    <t>A00000042</t>
  </si>
  <si>
    <t>LAMINAS DE ACERO INOX</t>
  </si>
  <si>
    <t>LAMINAS DE HIERRO_140 CM*30CM*0,3CM_SISTEMA EFLOC</t>
  </si>
  <si>
    <t>LAMINAS DE ACERO INOX_140 CM*30CM*0,3CM_SISTEMA EFLOC</t>
  </si>
  <si>
    <t>P0011</t>
  </si>
  <si>
    <t>NAYDU VELASQUEZ</t>
  </si>
  <si>
    <t>CR 68H 77 23 BOGOTA COLOMBIA</t>
  </si>
  <si>
    <t>www.antracitasdecundinamarca.com</t>
  </si>
  <si>
    <t>ventas@antracitasdecundinamarca.com</t>
  </si>
  <si>
    <t>horas</t>
  </si>
  <si>
    <t>GERENTE DE OPERACIONES</t>
  </si>
  <si>
    <t>DIRECTOR ADMINISTRATIVO</t>
  </si>
  <si>
    <t>COORDINADOR DE MTTO</t>
  </si>
  <si>
    <t>TECNICO DE LABORATORIO</t>
  </si>
  <si>
    <t>ANALSITA HSEQ</t>
  </si>
  <si>
    <t>AUXILIAR DE OPERACIONES</t>
  </si>
  <si>
    <t>PT1</t>
  </si>
  <si>
    <t>NOMBRE PRODUCTO TERMINADO</t>
  </si>
  <si>
    <t>NOMBRE DE LA MATERIA PRIMA</t>
  </si>
  <si>
    <t>CODIGO DE LA MATERIA PRIMA</t>
  </si>
  <si>
    <t>CANTIDAD REQUERIDA X UND A PRODUCIR</t>
  </si>
  <si>
    <t>UNIDAD DE CONSUMO</t>
  </si>
  <si>
    <t>PRECIO DE COMPRA</t>
  </si>
  <si>
    <t>TOTAL REQUERIDO ORDEN DE PRODUCCION</t>
  </si>
  <si>
    <t>CANTIDAD A PRODUCIR</t>
  </si>
  <si>
    <t>VIDA UTIL (litros)</t>
  </si>
  <si>
    <t>QTY (kg)</t>
  </si>
  <si>
    <t>BOMBA SATURACION DAF</t>
  </si>
  <si>
    <t>BOMBA MF + UF</t>
  </si>
  <si>
    <t>EQUIPOS</t>
  </si>
  <si>
    <t>kWh</t>
  </si>
  <si>
    <t>$ TOTAL</t>
  </si>
  <si>
    <t>DQO</t>
  </si>
  <si>
    <t>SST</t>
  </si>
  <si>
    <t>TURBIDEZ</t>
  </si>
  <si>
    <t>CONDUCTIVIDAD</t>
  </si>
  <si>
    <t>FCA</t>
  </si>
  <si>
    <t>PARAMETRO CLAVE</t>
  </si>
  <si>
    <t>mg/l</t>
  </si>
  <si>
    <t>RESULTADO</t>
  </si>
  <si>
    <t>COSTO</t>
  </si>
  <si>
    <t>COSTO $</t>
  </si>
  <si>
    <t>litros</t>
  </si>
  <si>
    <t>l/s</t>
  </si>
  <si>
    <t>Q a procesar</t>
  </si>
  <si>
    <t>Q set</t>
  </si>
  <si>
    <t>T proceso</t>
  </si>
  <si>
    <t>CODIGO PT</t>
  </si>
  <si>
    <t>TOTAL RQ (kg)</t>
  </si>
  <si>
    <t>CONSUMO (und)</t>
  </si>
  <si>
    <t>Tipo</t>
  </si>
  <si>
    <t>Rango FCA</t>
  </si>
  <si>
    <t>Clasificación</t>
  </si>
  <si>
    <t>Descripción</t>
  </si>
  <si>
    <t>Tipo I</t>
  </si>
  <si>
    <t>0.00 – &lt;0.20</t>
  </si>
  <si>
    <t>Bajo-bajo</t>
  </si>
  <si>
    <t>Tipo II</t>
  </si>
  <si>
    <t>0.20 – &lt;0.40</t>
  </si>
  <si>
    <t>Bajo-medio</t>
  </si>
  <si>
    <t>Tipo III</t>
  </si>
  <si>
    <t>0.40 – &lt;0.60</t>
  </si>
  <si>
    <t>Medio-medio</t>
  </si>
  <si>
    <t>Tipo IV</t>
  </si>
  <si>
    <t>0.60 – &lt;0.80</t>
  </si>
  <si>
    <t>Alto-medio</t>
  </si>
  <si>
    <t>Tipo V</t>
  </si>
  <si>
    <t>≥ 0.80</t>
  </si>
  <si>
    <t>Alto-alto</t>
  </si>
  <si>
    <t>TIPO I</t>
  </si>
  <si>
    <t xml:space="preserve">Aguas con carga muy baja — </t>
  </si>
  <si>
    <t xml:space="preserve">Aguas con carga muy baja </t>
  </si>
  <si>
    <t>Aguas con carga leve —</t>
  </si>
  <si>
    <t xml:space="preserve">Aguas con carga media — </t>
  </si>
  <si>
    <t xml:space="preserve">Aguas con carga elevada — </t>
  </si>
  <si>
    <t xml:space="preserve">Aguas con carga muy alta — </t>
  </si>
  <si>
    <t>BOMBA ENTRADA AGUA RESIDUAL</t>
  </si>
  <si>
    <t>BOMBA FILTRACION DISCOS + FILTROS MULTI</t>
  </si>
  <si>
    <t>PT00001</t>
  </si>
  <si>
    <t>TOTAL</t>
  </si>
  <si>
    <t>BASE</t>
  </si>
  <si>
    <t>EMPLEADOR</t>
  </si>
  <si>
    <t>TIPO</t>
  </si>
  <si>
    <t>MOD</t>
  </si>
  <si>
    <t>MOI</t>
  </si>
  <si>
    <t>TELEFONO 1</t>
  </si>
  <si>
    <t>TELEFONO 2</t>
  </si>
  <si>
    <t>kW equipo</t>
  </si>
  <si>
    <t>SERVICIO DE VIGILANCIA</t>
  </si>
  <si>
    <t>CARGO</t>
  </si>
  <si>
    <t>MANO DE OBRA</t>
  </si>
  <si>
    <t>TABLERO DE FUERZA</t>
  </si>
  <si>
    <t>TABLERO DE CONTROL</t>
  </si>
  <si>
    <t>MEDIDOR DE FLIJO</t>
  </si>
  <si>
    <t xml:space="preserve">MEZCLADOR ESTATICO </t>
  </si>
  <si>
    <t>BOMBA DOSIFICADORA</t>
  </si>
  <si>
    <t>DAF EDUR</t>
  </si>
  <si>
    <t>TANQUE DE SATRACION DAFF</t>
  </si>
  <si>
    <t>VALVULA ACTUADORA PROPORCIONAL</t>
  </si>
  <si>
    <t>BOMBA MULTIETAPA DAF</t>
  </si>
  <si>
    <t>SENSOR DE PRESION</t>
  </si>
  <si>
    <t>BOMBA ACTUADORA DE FLUJO</t>
  </si>
  <si>
    <t>MOTOREDUCTOR</t>
  </si>
  <si>
    <t>TANQUE CLARIFICADO</t>
  </si>
  <si>
    <t>ELECTROBOMBA</t>
  </si>
  <si>
    <t>MEDIDOR DE FLUJO ELECTRONICO</t>
  </si>
  <si>
    <t>SISTEMA DE FILTRACION POR DISCOS AUTOLIMPIANTES</t>
  </si>
  <si>
    <t>SENSOR DE NIVEL POR RADIO FRECUENCIA</t>
  </si>
  <si>
    <t>FILTROS DE LECHO MIXTO COLOR BLANCO</t>
  </si>
  <si>
    <t>TANQUE DE ALMACENAMIENTO</t>
  </si>
  <si>
    <t>SENSORES DE NIVEL DE RADIOFRECUENCIA</t>
  </si>
  <si>
    <t>BOMBAS DE FILTRACION</t>
  </si>
  <si>
    <t>FILTROS DE MANGA</t>
  </si>
  <si>
    <t xml:space="preserve">MEMBRANA DE ULTRA FILTRACION </t>
  </si>
  <si>
    <t>SISTEMA DE ULTRAFILTRACION</t>
  </si>
  <si>
    <t>MEDIDOR DE FLUJO ELECTROMAGNETICO</t>
  </si>
  <si>
    <t xml:space="preserve">ELECTRO VALVULAS </t>
  </si>
  <si>
    <t xml:space="preserve">MEDIDOR ELECTROMAGNETICO DE PRESION </t>
  </si>
  <si>
    <t>TANQUE DE ALMACENMIENTO</t>
  </si>
  <si>
    <t>BOMBAS DE RETROLAVADO</t>
  </si>
  <si>
    <t>TANQUE PARA AGUA DE RETROLAVADO</t>
  </si>
  <si>
    <t>TANQUES ACERO INOX. PTAP</t>
  </si>
  <si>
    <t>BOMBA CENTRIFUGA DE RETROLAVADO</t>
  </si>
  <si>
    <t>BOMBA MULTIETAPA DE FILTRACION</t>
  </si>
  <si>
    <t>SISTEMA HIDRONEUMATICO - BOMBA CENTRIFUGA</t>
  </si>
  <si>
    <t>TANQUE - SISTEMA HIDRONEUMATICO</t>
  </si>
  <si>
    <t>CARTUCHO DE MICROFILTRACION</t>
  </si>
  <si>
    <t>MEMBRANAS DE AUTOFILTRACION N1</t>
  </si>
  <si>
    <t>MEMBRANAS DE AUTOFILTRACION N2</t>
  </si>
  <si>
    <t xml:space="preserve">SISTEMA DESHIDRATADOR DE LODOS </t>
  </si>
  <si>
    <t xml:space="preserve">SISTEMA DESHIDRATADOR DE LODOS - MOTOR 1 IZQUIERDO </t>
  </si>
  <si>
    <t xml:space="preserve">SISTEMA DESHIDRATADOR DE LODOS - MOTOR 2 DERECHO </t>
  </si>
  <si>
    <t>MOTOR TOLVA</t>
  </si>
  <si>
    <t>TOLVA</t>
  </si>
  <si>
    <t>TABLERO FUERZA Y CONTROL DESIDRATADOR DE LODOS TOLVA</t>
  </si>
  <si>
    <t>BOMBA DOSIFICADORA DE SODA CAUSTICA</t>
  </si>
  <si>
    <t>BOMBA DE DAFRAGMA</t>
  </si>
  <si>
    <t xml:space="preserve">SISTEMA DE PREPARACION DE QUIMICOS - TANQUE </t>
  </si>
  <si>
    <t xml:space="preserve">SISTEMA DE PREPARACION DE QUIMICOS - MOTOREDUCTOR 1 </t>
  </si>
  <si>
    <t>SISTEMA DE PREPARACION DE QUIMICOS - MOTOREDUCTOR 2</t>
  </si>
  <si>
    <t>SISTEMA DE PREPARACION DE QUIMICOS - MOTOREDUCTOR 3</t>
  </si>
  <si>
    <t>SISTEMA DE PREPARACION DE QUIMICOS - MOTOREDUCTOR 4</t>
  </si>
  <si>
    <t xml:space="preserve">TEBLERO FUERZA Y CONTROL, SISTEMA DE PREPARACION DE QUIMICOS </t>
  </si>
  <si>
    <t xml:space="preserve">MOTOR REDUCTOR BARRE LODOS DAF </t>
  </si>
  <si>
    <t>TANQUE DE AGUAS LLUVIAS No. 1</t>
  </si>
  <si>
    <t>TANQUE DE AGUASLLUVIAS No. 2</t>
  </si>
  <si>
    <t xml:space="preserve">DOSIFICADORA VERTIMIENTO </t>
  </si>
  <si>
    <t>BOMBA SUMERGIBLE DE LODOS</t>
  </si>
  <si>
    <t>BOMBA DE CAUDAL</t>
  </si>
  <si>
    <t>TOTALIZADOR</t>
  </si>
  <si>
    <t>SOPLADOR DESARENADOR</t>
  </si>
  <si>
    <t xml:space="preserve">MEDIDOR DE FLUJO DE DESARENADOR </t>
  </si>
  <si>
    <t>BOMBA SUMERGIBLE DESARENADOR</t>
  </si>
  <si>
    <t>BOMBA SUMERGIBLE HOMOGENIZACION</t>
  </si>
  <si>
    <t>% Valor residual</t>
  </si>
  <si>
    <t>EQUIPO</t>
  </si>
  <si>
    <t>FECHA COMPRA</t>
  </si>
  <si>
    <t>COSTO ($)</t>
  </si>
  <si>
    <t>VIDA UTIL (AÑOS)</t>
  </si>
  <si>
    <t>VALOR RESIDUAL</t>
  </si>
  <si>
    <t>DEPRESIACION ANUAL</t>
  </si>
  <si>
    <t>VALOR ACTUAL</t>
  </si>
  <si>
    <t>DEPRESIACION ACUMULADA</t>
  </si>
  <si>
    <t>años usados</t>
  </si>
  <si>
    <t>N ORDEN</t>
  </si>
  <si>
    <t>BOMBA RETROLAVADO UF</t>
  </si>
  <si>
    <t>UND/L</t>
  </si>
  <si>
    <t>HM/L</t>
  </si>
  <si>
    <t>HM/H</t>
  </si>
  <si>
    <t>CIF (COSTOS INDIRECTOS DE FABRICACION)</t>
  </si>
  <si>
    <t>MANO DE OBRA INDIRECTA</t>
  </si>
  <si>
    <t>LUBRICANTES Y GRASA</t>
  </si>
  <si>
    <t>REACTIVOS DE LABORATORIO</t>
  </si>
  <si>
    <t>EPP Y DOTACIÓN</t>
  </si>
  <si>
    <t>MATERIAL DE ASEO</t>
  </si>
  <si>
    <t>TORNILLERÍA Y PEQUEÑOS REPUESTOS</t>
  </si>
  <si>
    <t>SALARIO % MOD</t>
  </si>
  <si>
    <t>% OPERACIÓN MOD</t>
  </si>
  <si>
    <t>% OPERACIÓN MOI</t>
  </si>
  <si>
    <t>SALARIO % MOI</t>
  </si>
  <si>
    <t>CIF</t>
  </si>
  <si>
    <t>L/MES</t>
  </si>
  <si>
    <t>$/L</t>
  </si>
  <si>
    <t>PT2</t>
  </si>
  <si>
    <t>TIPO II</t>
  </si>
  <si>
    <t>PT3</t>
  </si>
  <si>
    <t>TIPO III</t>
  </si>
  <si>
    <t>PT4</t>
  </si>
  <si>
    <t>TIPO IV</t>
  </si>
  <si>
    <t>FORMATO ORDEN DE PRODUCCION - UT PTARnD SABANA DE OCCIDENTE</t>
  </si>
  <si>
    <t>VERSIÓN: 01</t>
  </si>
  <si>
    <t>CÓDIGO: GO-FT-04</t>
  </si>
  <si>
    <t>VIGENCIA: 28/07/2025</t>
  </si>
  <si>
    <t>TRATAMIENTO DE AGUA RESIDUAL ARD Y ARND -</t>
  </si>
  <si>
    <t>BISULFITO DE SODIO_SACO X 25KG - 99%</t>
  </si>
  <si>
    <t>BISULFITO</t>
  </si>
  <si>
    <t>A00000043</t>
  </si>
  <si>
    <t>DAVID LOMBANA</t>
  </si>
  <si>
    <t>302 2162287</t>
  </si>
  <si>
    <t>BOLSAS DE MICROFILTRACION PN100 MICRAS DE 6"X22"</t>
  </si>
  <si>
    <t>FRASCO AMBAR DE MX LABORATORIO PLASTICO 250 ml</t>
  </si>
  <si>
    <t>FRASCO AMBAR DE MX LABORATORIO VIDRIO 250 ml</t>
  </si>
  <si>
    <t xml:space="preserve">CEPILLO DE CERDA GRUESA - VERDE </t>
  </si>
  <si>
    <t>POLAINAS DE CARNAZA</t>
  </si>
  <si>
    <t>PETO DE CARNAZA</t>
  </si>
  <si>
    <t>POLAINAS DEPORTIVA</t>
  </si>
  <si>
    <t>CARETA DE PROTECCION PODA</t>
  </si>
  <si>
    <t>HERRAMIENTA DE GUADAÑA</t>
  </si>
  <si>
    <t>CUCHILLA DE TRES PUNTAS</t>
  </si>
  <si>
    <t>CUCHILLA PLANA</t>
  </si>
  <si>
    <t>TIJERAS DE JARDINERIA</t>
  </si>
  <si>
    <t>ESPATULA</t>
  </si>
  <si>
    <t>PALIN DE JARDINERIA</t>
  </si>
  <si>
    <t>RASTOP - RODENTICIDA</t>
  </si>
  <si>
    <t>gr</t>
  </si>
  <si>
    <t xml:space="preserve">TRAMPA DE GOLPE </t>
  </si>
  <si>
    <t>TRAMPA DE PEGANTE</t>
  </si>
  <si>
    <t>PULVERIZADOR BOMBA DE ALTA PRESION - 16 L</t>
  </si>
  <si>
    <t>POLISOMBRA NEGRA</t>
  </si>
  <si>
    <t>m2</t>
  </si>
  <si>
    <t>ml</t>
  </si>
  <si>
    <t>HIDROXICLORURO DE ALUMINIO</t>
  </si>
  <si>
    <t>SULFATO FERROSO</t>
  </si>
  <si>
    <t>SULFATO DE ALUMINIO</t>
  </si>
  <si>
    <t>ECOREX - AQUAFLOW INSECTICIDA</t>
  </si>
  <si>
    <t>RAID PASTILLAS</t>
  </si>
  <si>
    <t>BISULFITO DE SODIO 99%</t>
  </si>
  <si>
    <t>A00000053</t>
  </si>
  <si>
    <t>A00000054</t>
  </si>
  <si>
    <t>A00000055</t>
  </si>
  <si>
    <t>A00000060</t>
  </si>
  <si>
    <t>A00000063</t>
  </si>
  <si>
    <t>A00000065</t>
  </si>
  <si>
    <t>A00000067</t>
  </si>
  <si>
    <t>A00000069</t>
  </si>
  <si>
    <t>A00000070</t>
  </si>
  <si>
    <t>A00000075</t>
  </si>
  <si>
    <t>A00000160</t>
  </si>
  <si>
    <t>A00000161</t>
  </si>
  <si>
    <t>A00000162</t>
  </si>
  <si>
    <t>A00000163</t>
  </si>
  <si>
    <t>A00000164</t>
  </si>
  <si>
    <t>A00000165</t>
  </si>
  <si>
    <t>A00000166</t>
  </si>
  <si>
    <t>A00000167</t>
  </si>
  <si>
    <t>A00000168</t>
  </si>
  <si>
    <t>A00000169</t>
  </si>
  <si>
    <t>A00000170</t>
  </si>
  <si>
    <t>A00000171</t>
  </si>
  <si>
    <t>A00000172</t>
  </si>
  <si>
    <t>A00000173</t>
  </si>
  <si>
    <t>A00000174</t>
  </si>
  <si>
    <t>A00000175</t>
  </si>
  <si>
    <t>A00000176</t>
  </si>
  <si>
    <t>A00000177</t>
  </si>
  <si>
    <t>A00000178</t>
  </si>
  <si>
    <t>A00000179</t>
  </si>
  <si>
    <t>R2N1P7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</si>
</sst>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 #,##0.00_-;\-&quot;$&quot;\ * #,##0.00_-;_-&quot;$&quot;\ * &quot;-&quot;??_-;_-@_-"/>
    <numFmt numFmtId="165" formatCode="_(&quot;$&quot;\ * #,##0.00_);_(&quot;$&quot;\ * \(#,##0.00\);_(&quot;$&quot;\ * &quot;-&quot;??_);_(@_)"/>
    <numFmt numFmtId="166" formatCode="_-&quot;$&quot;\ * #,##0.0_-;\-&quot;$&quot;\ * #,##0.0_-;_-&quot;$&quot;\ * &quot;-&quot;??_-;_-@_-"/>
    <numFmt numFmtId="167" formatCode="_-&quot;$&quot;\ * #,##0_-;\-&quot;$&quot;\ * #,##0_-;_-&quot;$&quot;\ * &quot;-&quot;??_-;_-@_-"/>
    <numFmt numFmtId="168" formatCode="0.000000"/>
    <numFmt numFmtId="169" formatCode="0.0"/>
    <numFmt numFmtId="170" formatCode="0.00000000"/>
    <numFmt numFmtId="171" formatCode="#,##0.00000000"/>
    <numFmt numFmtId="172" formatCode="#,##0.0000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9"/>
      <color indexed="81"/>
      <name val="Tahoma"/>
      <family val="2"/>
    </font>
    <font>
      <b/>
      <sz val="9"/>
      <color indexed="81"/>
      <name val="Tahoma"/>
      <family val="2"/>
    </font>
    <font>
      <sz val="11"/>
      <color rgb="FF000000"/>
      <name val="Calibri"/>
      <family val="2"/>
    </font>
    <font>
      <b/>
      <sz val="12"/>
      <color theme="1"/>
      <name val="Calibri"/>
      <family val="2"/>
      <scheme val="minor"/>
    </font>
    <font>
      <b/>
      <sz val="14"/>
      <color theme="1"/>
      <name val="Calibri"/>
      <family val="2"/>
      <scheme val="minor"/>
    </font>
    <font>
      <sz val="10"/>
      <name val="Arial"/>
      <family val="2"/>
    </font>
    <font>
      <sz val="10"/>
      <color theme="1"/>
      <name val="Calibri"/>
      <family val="2"/>
      <scheme val="minor"/>
    </font>
    <font>
      <sz val="1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92D050"/>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5">
    <xf numFmtId="0" fontId="0" fillId="0" borderId="0"/>
    <xf numFmtId="164" fontId="1" fillId="0" borderId="0" applyFont="0" applyFill="0" applyBorder="0" applyAlignment="0" applyProtection="0"/>
    <xf numFmtId="165" fontId="1" fillId="0" borderId="0" applyFont="0" applyFill="0" applyBorder="0" applyAlignment="0" applyProtection="0"/>
    <xf numFmtId="0" fontId="3" fillId="0" borderId="0" applyNumberFormat="0" applyFill="0" applyBorder="0" applyAlignment="0" applyProtection="0"/>
    <xf numFmtId="9" fontId="1" fillId="0" borderId="0" applyFont="0" applyFill="0" applyBorder="0" applyAlignment="0" applyProtection="0"/>
  </cellStyleXfs>
  <cellXfs count="63">
    <xf numFmtId="0" fontId="0" fillId="0" borderId="0" xfId="0"/>
    <xf numFmtId="0" fontId="2" fillId="2" borderId="0" xfId="0" applyFont="1" applyFill="1" applyAlignment="1">
      <alignment horizontal="center"/>
    </xf>
    <xf numFmtId="0" fontId="2" fillId="2" borderId="0" xfId="0" applyFont="1" applyFill="1"/>
    <xf numFmtId="0" fontId="3" fillId="0" borderId="0" xfId="3"/>
    <xf numFmtId="164" fontId="0" fillId="0" borderId="0" xfId="1" applyFont="1"/>
    <xf numFmtId="0" fontId="0" fillId="0" borderId="0" xfId="0" applyAlignment="1">
      <alignment horizontal="center"/>
    </xf>
    <xf numFmtId="0" fontId="0" fillId="0" borderId="0" xfId="0" applyAlignment="1">
      <alignment horizontal="right"/>
    </xf>
    <xf numFmtId="164" fontId="0" fillId="0" borderId="0" xfId="1" applyFont="1" applyAlignment="1">
      <alignment horizontal="right"/>
    </xf>
    <xf numFmtId="164" fontId="0" fillId="0" borderId="0" xfId="0" applyNumberFormat="1"/>
    <xf numFmtId="166" fontId="0" fillId="0" borderId="0" xfId="1" applyNumberFormat="1" applyFont="1"/>
    <xf numFmtId="167" fontId="0" fillId="0" borderId="0" xfId="1" applyNumberFormat="1" applyFont="1"/>
    <xf numFmtId="168" fontId="0" fillId="0" borderId="0" xfId="0" applyNumberFormat="1"/>
    <xf numFmtId="2" fontId="0" fillId="0" borderId="0" xfId="0" applyNumberFormat="1"/>
    <xf numFmtId="169" fontId="0" fillId="0" borderId="0" xfId="0" applyNumberFormat="1"/>
    <xf numFmtId="170" fontId="0" fillId="0" borderId="0" xfId="0" applyNumberFormat="1"/>
    <xf numFmtId="0" fontId="0" fillId="0" borderId="0" xfId="0" applyAlignment="1">
      <alignment wrapText="1"/>
    </xf>
    <xf numFmtId="4" fontId="0" fillId="0" borderId="0" xfId="0" applyNumberFormat="1"/>
    <xf numFmtId="171" fontId="0" fillId="0" borderId="0" xfId="0" applyNumberFormat="1"/>
    <xf numFmtId="0" fontId="0" fillId="3" borderId="0" xfId="0" applyFill="1"/>
    <xf numFmtId="0" fontId="0" fillId="4" borderId="0" xfId="0" applyFill="1" applyAlignment="1">
      <alignment horizontal="center"/>
    </xf>
    <xf numFmtId="168" fontId="0" fillId="0" borderId="0" xfId="0" applyNumberFormat="1" applyAlignment="1">
      <alignment horizontal="right"/>
    </xf>
    <xf numFmtId="0" fontId="2" fillId="5" borderId="0" xfId="0" applyFont="1" applyFill="1" applyAlignment="1">
      <alignment horizontal="center"/>
    </xf>
    <xf numFmtId="0" fontId="0" fillId="3" borderId="0" xfId="0" applyFill="1" applyAlignment="1">
      <alignment horizontal="center"/>
    </xf>
    <xf numFmtId="0" fontId="0" fillId="4" borderId="0" xfId="0" applyFill="1" applyAlignment="1">
      <alignment horizontal="center" vertical="center"/>
    </xf>
    <xf numFmtId="0" fontId="2" fillId="4" borderId="0" xfId="0" applyFont="1" applyFill="1"/>
    <xf numFmtId="0" fontId="2" fillId="4" borderId="0" xfId="0" applyFont="1" applyFill="1" applyAlignment="1">
      <alignment horizontal="center"/>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2" fillId="2" borderId="0" xfId="0" applyFont="1" applyFill="1" applyAlignment="1">
      <alignment horizontal="center" vertical="center" wrapText="1"/>
    </xf>
    <xf numFmtId="0" fontId="0" fillId="2" borderId="0" xfId="0" applyFill="1" applyAlignment="1">
      <alignment horizontal="center" vertical="center" wrapText="1"/>
    </xf>
    <xf numFmtId="9" fontId="0" fillId="0" borderId="0" xfId="0" applyNumberFormat="1"/>
    <xf numFmtId="9" fontId="0" fillId="0" borderId="0" xfId="4" applyFont="1"/>
    <xf numFmtId="14" fontId="0" fillId="0" borderId="0" xfId="0" applyNumberFormat="1"/>
    <xf numFmtId="1" fontId="0" fillId="0" borderId="0" xfId="1" applyNumberFormat="1" applyFont="1"/>
    <xf numFmtId="0" fontId="2" fillId="3" borderId="0" xfId="0" applyFont="1" applyFill="1" applyAlignment="1">
      <alignment horizontal="center" vertical="center" wrapText="1"/>
    </xf>
    <xf numFmtId="9" fontId="0" fillId="3" borderId="0" xfId="0" applyNumberFormat="1" applyFill="1"/>
    <xf numFmtId="164" fontId="0" fillId="3" borderId="0" xfId="1" applyFont="1" applyFill="1"/>
    <xf numFmtId="172" fontId="0" fillId="0" borderId="0" xfId="0" applyNumberFormat="1"/>
    <xf numFmtId="0" fontId="0" fillId="0" borderId="0" xfId="1" applyNumberFormat="1" applyFont="1"/>
    <xf numFmtId="164" fontId="0" fillId="6" borderId="0" xfId="1" applyFont="1" applyFill="1"/>
    <xf numFmtId="0" fontId="7" fillId="0" borderId="0" xfId="0" applyFont="1" applyAlignment="1">
      <alignment vertical="center" wrapText="1"/>
    </xf>
    <xf numFmtId="164" fontId="0" fillId="0" borderId="0" xfId="1" applyFont="1" applyAlignment="1">
      <alignment vertical="center" wrapText="1"/>
    </xf>
    <xf numFmtId="0" fontId="10" fillId="0" borderId="1" xfId="0" applyFont="1" applyBorder="1" applyAlignment="1">
      <alignment vertical="center"/>
    </xf>
    <xf numFmtId="0" fontId="0" fillId="6" borderId="0" xfId="0" applyFill="1"/>
    <xf numFmtId="0" fontId="8" fillId="6" borderId="0" xfId="0" applyFont="1" applyFill="1"/>
    <xf numFmtId="164" fontId="8" fillId="6" borderId="0" xfId="0" applyNumberFormat="1" applyFont="1" applyFill="1"/>
    <xf numFmtId="0" fontId="9" fillId="6" borderId="0" xfId="0" applyFont="1" applyFill="1"/>
    <xf numFmtId="0" fontId="11" fillId="0" borderId="0" xfId="0" applyFont="1"/>
    <xf numFmtId="9" fontId="2" fillId="0" borderId="0" xfId="0" applyNumberFormat="1" applyFont="1" applyAlignment="1">
      <alignment horizontal="center"/>
    </xf>
    <xf numFmtId="0" fontId="2" fillId="5" borderId="0" xfId="0" applyFont="1" applyFill="1" applyAlignment="1">
      <alignment horizontal="center" vertical="center" wrapText="1"/>
    </xf>
    <xf numFmtId="0" fontId="0" fillId="0" borderId="2" xfId="0" applyBorder="1" applyAlignment="1">
      <alignment horizontal="center"/>
    </xf>
    <xf numFmtId="0" fontId="0" fillId="0" borderId="7" xfId="0" applyBorder="1" applyAlignment="1">
      <alignment horizontal="center"/>
    </xf>
    <xf numFmtId="0" fontId="0" fillId="0" borderId="4" xfId="0" applyBorder="1" applyAlignment="1">
      <alignment horizontal="center"/>
    </xf>
    <xf numFmtId="0" fontId="0" fillId="0" borderId="8"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9" fillId="0" borderId="3" xfId="0" applyFont="1" applyBorder="1" applyAlignment="1">
      <alignment horizontal="center" vertical="center"/>
    </xf>
    <xf numFmtId="0" fontId="9" fillId="0" borderId="0" xfId="0" applyFont="1" applyAlignment="1">
      <alignment horizontal="center" vertical="center"/>
    </xf>
    <xf numFmtId="0" fontId="9" fillId="0" borderId="6" xfId="0" applyFont="1" applyBorder="1" applyAlignment="1">
      <alignment horizontal="center" vertical="center"/>
    </xf>
    <xf numFmtId="0" fontId="12" fillId="0" borderId="0" xfId="0" applyFont="1" applyAlignment="1">
      <alignment horizontal="center"/>
    </xf>
    <xf numFmtId="0" fontId="0" fillId="0" borderId="0" xfId="0" applyFill="1" applyAlignment="1">
      <alignment horizontal="center"/>
    </xf>
  </cellXfs>
  <cellStyles count="5">
    <cellStyle name="Hipervínculo" xfId="3" builtinId="8"/>
    <cellStyle name="Moneda" xfId="1" builtinId="4"/>
    <cellStyle name="Moneda 2" xfId="2" xr:uid="{7E459E85-C469-4411-9C07-DF01710892E8}"/>
    <cellStyle name="Normal" xfId="0" builtinId="0"/>
    <cellStyle name="Porcentaje"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411480</xdr:colOff>
      <xdr:row>1</xdr:row>
      <xdr:rowOff>15240</xdr:rowOff>
    </xdr:from>
    <xdr:to>
      <xdr:col>2</xdr:col>
      <xdr:colOff>1430655</xdr:colOff>
      <xdr:row>3</xdr:row>
      <xdr:rowOff>154305</xdr:rowOff>
    </xdr:to>
    <xdr:grpSp>
      <xdr:nvGrpSpPr>
        <xdr:cNvPr id="2" name="Grupo 1">
          <a:extLst>
            <a:ext uri="{FF2B5EF4-FFF2-40B4-BE49-F238E27FC236}">
              <a16:creationId xmlns:a16="http://schemas.microsoft.com/office/drawing/2014/main" id="{6C597BDE-DB73-4B18-AE01-B4FDA7865048}"/>
            </a:ext>
          </a:extLst>
        </xdr:cNvPr>
        <xdr:cNvGrpSpPr>
          <a:grpSpLocks/>
        </xdr:cNvGrpSpPr>
      </xdr:nvGrpSpPr>
      <xdr:grpSpPr bwMode="auto">
        <a:xfrm>
          <a:off x="1935480" y="215265"/>
          <a:ext cx="1019175" cy="539115"/>
          <a:chOff x="0" y="0"/>
          <a:chExt cx="5549992" cy="2991680"/>
        </a:xfrm>
      </xdr:grpSpPr>
      <xdr:pic>
        <xdr:nvPicPr>
          <xdr:cNvPr id="3" name="Imagen 2">
            <a:extLst>
              <a:ext uri="{FF2B5EF4-FFF2-40B4-BE49-F238E27FC236}">
                <a16:creationId xmlns:a16="http://schemas.microsoft.com/office/drawing/2014/main" id="{7FEC02EA-4F65-E124-0BA5-E816687B3C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9237" t="18333" r="18472" b="18959"/>
          <a:stretch>
            <a:fillRect/>
          </a:stretch>
        </xdr:blipFill>
        <xdr:spPr bwMode="auto">
          <a:xfrm>
            <a:off x="2578190" y="0"/>
            <a:ext cx="2971802" cy="299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AE374B55-9021-4591-1B03-664C9CB2A1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9879"/>
            <a:ext cx="2971801" cy="29718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distribuidoraaliados.com/" TargetMode="External"/><Relationship Id="rId21" Type="http://schemas.openxmlformats.org/officeDocument/2006/relationships/hyperlink" Target="mailto:servicioalcliente@ciacomeq.com" TargetMode="External"/><Relationship Id="rId42" Type="http://schemas.openxmlformats.org/officeDocument/2006/relationships/hyperlink" Target="mailto:gerencia@mqrsas.com" TargetMode="External"/><Relationship Id="rId47" Type="http://schemas.openxmlformats.org/officeDocument/2006/relationships/hyperlink" Target="https://www.hannacolombia.com/" TargetMode="External"/><Relationship Id="rId63" Type="http://schemas.openxmlformats.org/officeDocument/2006/relationships/hyperlink" Target="https://aseringsas.co/" TargetMode="External"/><Relationship Id="rId68" Type="http://schemas.openxmlformats.org/officeDocument/2006/relationships/hyperlink" Target="mailto:servicioalcliente@ramguz.com.co" TargetMode="External"/><Relationship Id="rId7" Type="http://schemas.openxmlformats.org/officeDocument/2006/relationships/hyperlink" Target="https://ciacomeq.com/" TargetMode="External"/><Relationship Id="rId71" Type="http://schemas.openxmlformats.org/officeDocument/2006/relationships/hyperlink" Target="https://ramguz.com/" TargetMode="External"/><Relationship Id="rId2" Type="http://schemas.openxmlformats.org/officeDocument/2006/relationships/hyperlink" Target="mailto:servicioalcliente@ciacomeq.com" TargetMode="External"/><Relationship Id="rId16" Type="http://schemas.openxmlformats.org/officeDocument/2006/relationships/hyperlink" Target="https://distribuidoraaliados.com/" TargetMode="External"/><Relationship Id="rId29" Type="http://schemas.openxmlformats.org/officeDocument/2006/relationships/hyperlink" Target="https://distribuidoraaliados.com/" TargetMode="External"/><Relationship Id="rId11" Type="http://schemas.openxmlformats.org/officeDocument/2006/relationships/hyperlink" Target="mailto:servicioalcliente@ciacomeq.com" TargetMode="External"/><Relationship Id="rId24" Type="http://schemas.openxmlformats.org/officeDocument/2006/relationships/hyperlink" Target="mailto:servicioalcliente@ciacomeq.com" TargetMode="External"/><Relationship Id="rId32" Type="http://schemas.openxmlformats.org/officeDocument/2006/relationships/hyperlink" Target="https://distribuidoraaliados.com/" TargetMode="External"/><Relationship Id="rId37" Type="http://schemas.openxmlformats.org/officeDocument/2006/relationships/hyperlink" Target="https://aseringsas.co/" TargetMode="External"/><Relationship Id="rId40" Type="http://schemas.openxmlformats.org/officeDocument/2006/relationships/hyperlink" Target="mailto:VENTAS@CASAQUIMICOS.COM" TargetMode="External"/><Relationship Id="rId45" Type="http://schemas.openxmlformats.org/officeDocument/2006/relationships/hyperlink" Target="https://www.hannacolombia.com/" TargetMode="External"/><Relationship Id="rId53" Type="http://schemas.openxmlformats.org/officeDocument/2006/relationships/hyperlink" Target="https://www.hannacolombia.com/" TargetMode="External"/><Relationship Id="rId58" Type="http://schemas.openxmlformats.org/officeDocument/2006/relationships/hyperlink" Target="https://www.hannacolombia.com/" TargetMode="External"/><Relationship Id="rId66" Type="http://schemas.openxmlformats.org/officeDocument/2006/relationships/hyperlink" Target="https://aseringsas.co/" TargetMode="External"/><Relationship Id="rId5" Type="http://schemas.openxmlformats.org/officeDocument/2006/relationships/hyperlink" Target="https://ciacomeq.com/" TargetMode="External"/><Relationship Id="rId61" Type="http://schemas.openxmlformats.org/officeDocument/2006/relationships/hyperlink" Target="https://www.hannacolombia.com/" TargetMode="External"/><Relationship Id="rId19" Type="http://schemas.openxmlformats.org/officeDocument/2006/relationships/hyperlink" Target="https://fergquimsas.com.co/" TargetMode="External"/><Relationship Id="rId14" Type="http://schemas.openxmlformats.org/officeDocument/2006/relationships/hyperlink" Target="mailto:comercial3@quimicosfergquim.com" TargetMode="External"/><Relationship Id="rId22" Type="http://schemas.openxmlformats.org/officeDocument/2006/relationships/hyperlink" Target="https://ciacomeq.com/" TargetMode="External"/><Relationship Id="rId27" Type="http://schemas.openxmlformats.org/officeDocument/2006/relationships/hyperlink" Target="https://distribuidoraaliados.com/" TargetMode="External"/><Relationship Id="rId30" Type="http://schemas.openxmlformats.org/officeDocument/2006/relationships/hyperlink" Target="https://distribuidoraaliados.com/" TargetMode="External"/><Relationship Id="rId35" Type="http://schemas.openxmlformats.org/officeDocument/2006/relationships/hyperlink" Target="https://fergquimsas.com.co/" TargetMode="External"/><Relationship Id="rId43" Type="http://schemas.openxmlformats.org/officeDocument/2006/relationships/hyperlink" Target="https://www.hannacolombia.com/" TargetMode="External"/><Relationship Id="rId48" Type="http://schemas.openxmlformats.org/officeDocument/2006/relationships/hyperlink" Target="https://www.hannacolombia.com/" TargetMode="External"/><Relationship Id="rId56" Type="http://schemas.openxmlformats.org/officeDocument/2006/relationships/hyperlink" Target="https://www.hannacolombia.com/" TargetMode="External"/><Relationship Id="rId64" Type="http://schemas.openxmlformats.org/officeDocument/2006/relationships/hyperlink" Target="https://aseringsas.co/" TargetMode="External"/><Relationship Id="rId69" Type="http://schemas.openxmlformats.org/officeDocument/2006/relationships/hyperlink" Target="https://ramguz.com/" TargetMode="External"/><Relationship Id="rId8" Type="http://schemas.openxmlformats.org/officeDocument/2006/relationships/hyperlink" Target="mailto:servicioalcliente@ciacomeq.com" TargetMode="External"/><Relationship Id="rId51" Type="http://schemas.openxmlformats.org/officeDocument/2006/relationships/hyperlink" Target="https://www.hannacolombia.com/" TargetMode="External"/><Relationship Id="rId3" Type="http://schemas.openxmlformats.org/officeDocument/2006/relationships/hyperlink" Target="https://ciacomeq.com/" TargetMode="External"/><Relationship Id="rId12" Type="http://schemas.openxmlformats.org/officeDocument/2006/relationships/hyperlink" Target="mailto:servicioalcliente@ciacomeq.com" TargetMode="External"/><Relationship Id="rId17" Type="http://schemas.openxmlformats.org/officeDocument/2006/relationships/hyperlink" Target="https://distribuidoraaliados.com/" TargetMode="External"/><Relationship Id="rId25" Type="http://schemas.openxmlformats.org/officeDocument/2006/relationships/hyperlink" Target="mailto:servicioalcliente@ciacomeq.com" TargetMode="External"/><Relationship Id="rId33" Type="http://schemas.openxmlformats.org/officeDocument/2006/relationships/hyperlink" Target="mailto:comercial3@quimicosfergquim.com" TargetMode="External"/><Relationship Id="rId38" Type="http://schemas.openxmlformats.org/officeDocument/2006/relationships/hyperlink" Target="https://proquimicasjg.com/" TargetMode="External"/><Relationship Id="rId46" Type="http://schemas.openxmlformats.org/officeDocument/2006/relationships/hyperlink" Target="https://www.hannacolombia.com/" TargetMode="External"/><Relationship Id="rId59" Type="http://schemas.openxmlformats.org/officeDocument/2006/relationships/hyperlink" Target="https://www.hannacolombia.com/" TargetMode="External"/><Relationship Id="rId67" Type="http://schemas.openxmlformats.org/officeDocument/2006/relationships/hyperlink" Target="https://aseringsas.co/" TargetMode="External"/><Relationship Id="rId20" Type="http://schemas.openxmlformats.org/officeDocument/2006/relationships/hyperlink" Target="https://ciacomeq.com/" TargetMode="External"/><Relationship Id="rId41" Type="http://schemas.openxmlformats.org/officeDocument/2006/relationships/hyperlink" Target="https://www.hannacolombia.com/" TargetMode="External"/><Relationship Id="rId54" Type="http://schemas.openxmlformats.org/officeDocument/2006/relationships/hyperlink" Target="https://www.hannacolombia.com/" TargetMode="External"/><Relationship Id="rId62" Type="http://schemas.openxmlformats.org/officeDocument/2006/relationships/hyperlink" Target="https://aseringsas.co/" TargetMode="External"/><Relationship Id="rId70" Type="http://schemas.openxmlformats.org/officeDocument/2006/relationships/hyperlink" Target="mailto:servicioalcliente@ramguz.com.co" TargetMode="External"/><Relationship Id="rId1" Type="http://schemas.openxmlformats.org/officeDocument/2006/relationships/hyperlink" Target="https://ciacomeq.com/" TargetMode="External"/><Relationship Id="rId6" Type="http://schemas.openxmlformats.org/officeDocument/2006/relationships/hyperlink" Target="https://ciacomeq.com/" TargetMode="External"/><Relationship Id="rId15" Type="http://schemas.openxmlformats.org/officeDocument/2006/relationships/hyperlink" Target="https://distribuidoraaliados.com/" TargetMode="External"/><Relationship Id="rId23" Type="http://schemas.openxmlformats.org/officeDocument/2006/relationships/hyperlink" Target="https://ciacomeq.com/" TargetMode="External"/><Relationship Id="rId28" Type="http://schemas.openxmlformats.org/officeDocument/2006/relationships/hyperlink" Target="https://distribuidoraaliados.com/" TargetMode="External"/><Relationship Id="rId36" Type="http://schemas.openxmlformats.org/officeDocument/2006/relationships/hyperlink" Target="https://fergquimsas.com.co/" TargetMode="External"/><Relationship Id="rId49" Type="http://schemas.openxmlformats.org/officeDocument/2006/relationships/hyperlink" Target="https://www.hannacolombia.com/" TargetMode="External"/><Relationship Id="rId57" Type="http://schemas.openxmlformats.org/officeDocument/2006/relationships/hyperlink" Target="https://www.hannacolombia.com/" TargetMode="External"/><Relationship Id="rId10" Type="http://schemas.openxmlformats.org/officeDocument/2006/relationships/hyperlink" Target="mailto:servicioalcliente@ciacomeq.com" TargetMode="External"/><Relationship Id="rId31" Type="http://schemas.openxmlformats.org/officeDocument/2006/relationships/hyperlink" Target="https://distribuidoraaliados.com/" TargetMode="External"/><Relationship Id="rId44" Type="http://schemas.openxmlformats.org/officeDocument/2006/relationships/hyperlink" Target="https://www.hannacolombia.com/" TargetMode="External"/><Relationship Id="rId52" Type="http://schemas.openxmlformats.org/officeDocument/2006/relationships/hyperlink" Target="https://www.hannacolombia.com/" TargetMode="External"/><Relationship Id="rId60" Type="http://schemas.openxmlformats.org/officeDocument/2006/relationships/hyperlink" Target="https://www.hannacolombia.com/" TargetMode="External"/><Relationship Id="rId65" Type="http://schemas.openxmlformats.org/officeDocument/2006/relationships/hyperlink" Target="https://aseringsas.co/" TargetMode="External"/><Relationship Id="rId4" Type="http://schemas.openxmlformats.org/officeDocument/2006/relationships/hyperlink" Target="https://ciacomeq.com/" TargetMode="External"/><Relationship Id="rId9" Type="http://schemas.openxmlformats.org/officeDocument/2006/relationships/hyperlink" Target="mailto:servicioalcliente@ciacomeq.com" TargetMode="External"/><Relationship Id="rId13" Type="http://schemas.openxmlformats.org/officeDocument/2006/relationships/hyperlink" Target="mailto:comercial3@quimicosfergquim.com" TargetMode="External"/><Relationship Id="rId18" Type="http://schemas.openxmlformats.org/officeDocument/2006/relationships/hyperlink" Target="https://fergquimsas.com.co/" TargetMode="External"/><Relationship Id="rId39" Type="http://schemas.openxmlformats.org/officeDocument/2006/relationships/hyperlink" Target="https://proquimicasjg.com/" TargetMode="External"/><Relationship Id="rId34" Type="http://schemas.openxmlformats.org/officeDocument/2006/relationships/hyperlink" Target="mailto:comercial3@quimicosfergquim.com" TargetMode="External"/><Relationship Id="rId50" Type="http://schemas.openxmlformats.org/officeDocument/2006/relationships/hyperlink" Target="https://www.hannacolombia.com/" TargetMode="External"/><Relationship Id="rId55" Type="http://schemas.openxmlformats.org/officeDocument/2006/relationships/hyperlink" Target="https://www.hannacolombia.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mailto:millanalexander@unbosque.edu.co" TargetMode="External"/><Relationship Id="rId2" Type="http://schemas.openxmlformats.org/officeDocument/2006/relationships/hyperlink" Target="mailto:Katherine.Albarracin@yanbal.com%20-%20Liseth%20Barahona%3CLiseth.Barahona@yanbal.com" TargetMode="External"/><Relationship Id="rId1" Type="http://schemas.openxmlformats.org/officeDocument/2006/relationships/hyperlink" Target="mailto:jgualtero@pactia.com" TargetMode="External"/><Relationship Id="rId4" Type="http://schemas.openxmlformats.org/officeDocument/2006/relationships/hyperlink" Target="mailto:sfranco@agrobetania.com.co"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BB632-24CC-4EF8-8CA2-02AC730BD2EF}">
  <dimension ref="A1:K44"/>
  <sheetViews>
    <sheetView topLeftCell="A10" workbookViewId="0">
      <selection activeCell="B45" sqref="B45"/>
    </sheetView>
  </sheetViews>
  <sheetFormatPr baseColWidth="10" defaultRowHeight="15" x14ac:dyDescent="0.25"/>
  <cols>
    <col min="1" max="1" width="12.28515625" bestFit="1" customWidth="1"/>
    <col min="2" max="2" width="60.28515625" bestFit="1" customWidth="1"/>
    <col min="3" max="3" width="32.28515625" bestFit="1" customWidth="1"/>
    <col min="4" max="4" width="17.7109375" bestFit="1" customWidth="1"/>
    <col min="5" max="5" width="17.7109375" customWidth="1"/>
    <col min="6" max="7" width="20.28515625" bestFit="1" customWidth="1"/>
    <col min="8" max="8" width="29.5703125" bestFit="1" customWidth="1"/>
    <col min="9" max="10" width="21.85546875" bestFit="1" customWidth="1"/>
    <col min="11" max="11" width="16.5703125" customWidth="1"/>
  </cols>
  <sheetData>
    <row r="1" spans="1:11" x14ac:dyDescent="0.25">
      <c r="A1" s="1" t="s">
        <v>0</v>
      </c>
      <c r="B1" s="1" t="s">
        <v>1</v>
      </c>
      <c r="C1" s="1" t="s">
        <v>2</v>
      </c>
      <c r="D1" s="1" t="s">
        <v>137</v>
      </c>
      <c r="E1" s="1" t="s">
        <v>172</v>
      </c>
      <c r="F1" s="1" t="s">
        <v>3</v>
      </c>
      <c r="G1" s="1" t="s">
        <v>4</v>
      </c>
      <c r="H1" s="1" t="s">
        <v>213</v>
      </c>
      <c r="I1" s="1" t="s">
        <v>214</v>
      </c>
      <c r="J1" s="1" t="s">
        <v>215</v>
      </c>
      <c r="K1" s="1" t="s">
        <v>216</v>
      </c>
    </row>
    <row r="2" spans="1:11" x14ac:dyDescent="0.25">
      <c r="A2" t="s">
        <v>27</v>
      </c>
      <c r="B2" t="s">
        <v>120</v>
      </c>
      <c r="C2" t="s">
        <v>16</v>
      </c>
      <c r="D2">
        <v>450</v>
      </c>
      <c r="E2" t="s">
        <v>146</v>
      </c>
      <c r="F2" t="s">
        <v>134</v>
      </c>
      <c r="H2" t="s">
        <v>21</v>
      </c>
      <c r="I2" t="s">
        <v>22</v>
      </c>
      <c r="J2" t="s">
        <v>23</v>
      </c>
      <c r="K2" t="s">
        <v>24</v>
      </c>
    </row>
    <row r="3" spans="1:11" x14ac:dyDescent="0.25">
      <c r="A3" t="s">
        <v>28</v>
      </c>
      <c r="B3" t="s">
        <v>177</v>
      </c>
      <c r="C3" t="s">
        <v>178</v>
      </c>
      <c r="D3">
        <v>0</v>
      </c>
      <c r="E3" t="s">
        <v>146</v>
      </c>
      <c r="F3" t="s">
        <v>136</v>
      </c>
      <c r="H3" t="s">
        <v>21</v>
      </c>
      <c r="I3" t="s">
        <v>23</v>
      </c>
      <c r="J3" t="s">
        <v>22</v>
      </c>
    </row>
    <row r="4" spans="1:11" x14ac:dyDescent="0.25">
      <c r="A4" t="s">
        <v>29</v>
      </c>
      <c r="B4" t="s">
        <v>119</v>
      </c>
      <c r="C4" t="s">
        <v>17</v>
      </c>
      <c r="D4">
        <v>410</v>
      </c>
      <c r="E4" t="s">
        <v>146</v>
      </c>
      <c r="F4" t="s">
        <v>134</v>
      </c>
      <c r="H4" t="s">
        <v>21</v>
      </c>
      <c r="I4" t="s">
        <v>23</v>
      </c>
      <c r="J4" t="s">
        <v>22</v>
      </c>
    </row>
    <row r="5" spans="1:11" x14ac:dyDescent="0.25">
      <c r="A5" t="s">
        <v>30</v>
      </c>
      <c r="B5" t="s">
        <v>166</v>
      </c>
      <c r="C5" t="s">
        <v>17</v>
      </c>
      <c r="D5">
        <v>0</v>
      </c>
      <c r="E5" t="s">
        <v>146</v>
      </c>
      <c r="F5" t="s">
        <v>136</v>
      </c>
      <c r="H5" t="s">
        <v>21</v>
      </c>
      <c r="I5" t="s">
        <v>23</v>
      </c>
      <c r="J5" t="s">
        <v>22</v>
      </c>
    </row>
    <row r="6" spans="1:11" x14ac:dyDescent="0.25">
      <c r="A6" t="s">
        <v>31</v>
      </c>
      <c r="B6" t="s">
        <v>167</v>
      </c>
      <c r="C6" t="s">
        <v>19</v>
      </c>
      <c r="D6">
        <v>0</v>
      </c>
      <c r="E6" t="s">
        <v>146</v>
      </c>
      <c r="F6" t="s">
        <v>136</v>
      </c>
      <c r="H6" t="s">
        <v>21</v>
      </c>
      <c r="I6" t="s">
        <v>118</v>
      </c>
      <c r="J6" t="s">
        <v>23</v>
      </c>
      <c r="K6" t="s">
        <v>22</v>
      </c>
    </row>
    <row r="7" spans="1:11" x14ac:dyDescent="0.25">
      <c r="A7" t="s">
        <v>32</v>
      </c>
      <c r="B7" t="s">
        <v>168</v>
      </c>
      <c r="C7" t="s">
        <v>18</v>
      </c>
      <c r="D7">
        <v>28</v>
      </c>
      <c r="E7" t="s">
        <v>173</v>
      </c>
      <c r="F7" t="s">
        <v>133</v>
      </c>
      <c r="H7" t="s">
        <v>21</v>
      </c>
      <c r="I7" t="s">
        <v>23</v>
      </c>
      <c r="J7" t="s">
        <v>41</v>
      </c>
    </row>
    <row r="8" spans="1:11" x14ac:dyDescent="0.25">
      <c r="A8" t="s">
        <v>33</v>
      </c>
      <c r="B8" t="s">
        <v>123</v>
      </c>
      <c r="C8" t="s">
        <v>20</v>
      </c>
      <c r="D8">
        <v>510</v>
      </c>
      <c r="E8" t="s">
        <v>146</v>
      </c>
      <c r="F8" t="s">
        <v>134</v>
      </c>
      <c r="H8" t="s">
        <v>21</v>
      </c>
    </row>
    <row r="9" spans="1:11" x14ac:dyDescent="0.25">
      <c r="A9" t="s">
        <v>34</v>
      </c>
      <c r="B9" t="s">
        <v>121</v>
      </c>
      <c r="C9" t="s">
        <v>20</v>
      </c>
      <c r="D9">
        <v>0</v>
      </c>
      <c r="E9" t="s">
        <v>146</v>
      </c>
      <c r="F9" t="s">
        <v>136</v>
      </c>
      <c r="H9" t="s">
        <v>22</v>
      </c>
      <c r="I9" t="s">
        <v>23</v>
      </c>
    </row>
    <row r="10" spans="1:11" x14ac:dyDescent="0.25">
      <c r="A10" t="s">
        <v>35</v>
      </c>
      <c r="B10" t="s">
        <v>122</v>
      </c>
      <c r="C10" t="s">
        <v>26</v>
      </c>
      <c r="D10">
        <v>10</v>
      </c>
      <c r="E10" t="s">
        <v>146</v>
      </c>
      <c r="F10" t="s">
        <v>133</v>
      </c>
      <c r="H10" t="s">
        <v>21</v>
      </c>
      <c r="I10" t="s">
        <v>23</v>
      </c>
      <c r="J10" t="s">
        <v>25</v>
      </c>
    </row>
    <row r="11" spans="1:11" x14ac:dyDescent="0.25">
      <c r="A11" t="s">
        <v>36</v>
      </c>
      <c r="B11" t="s">
        <v>124</v>
      </c>
      <c r="C11" t="s">
        <v>125</v>
      </c>
      <c r="D11">
        <v>30</v>
      </c>
      <c r="E11" t="s">
        <v>146</v>
      </c>
      <c r="F11" t="s">
        <v>133</v>
      </c>
      <c r="H11" t="s">
        <v>22</v>
      </c>
      <c r="I11" t="s">
        <v>23</v>
      </c>
    </row>
    <row r="12" spans="1:11" x14ac:dyDescent="0.25">
      <c r="A12" t="s">
        <v>37</v>
      </c>
      <c r="B12" t="s">
        <v>179</v>
      </c>
      <c r="C12" t="s">
        <v>126</v>
      </c>
      <c r="D12">
        <v>14</v>
      </c>
      <c r="E12" t="s">
        <v>146</v>
      </c>
      <c r="F12" t="s">
        <v>133</v>
      </c>
      <c r="H12" t="s">
        <v>21</v>
      </c>
      <c r="I12" t="s">
        <v>118</v>
      </c>
      <c r="J12" t="s">
        <v>23</v>
      </c>
      <c r="K12" t="s">
        <v>22</v>
      </c>
    </row>
    <row r="13" spans="1:11" x14ac:dyDescent="0.25">
      <c r="A13" t="s">
        <v>38</v>
      </c>
      <c r="B13" t="s">
        <v>2400</v>
      </c>
      <c r="C13" t="s">
        <v>2401</v>
      </c>
      <c r="D13">
        <v>0</v>
      </c>
      <c r="E13" t="s">
        <v>146</v>
      </c>
      <c r="F13" t="s">
        <v>136</v>
      </c>
    </row>
    <row r="14" spans="1:11" x14ac:dyDescent="0.25">
      <c r="A14" t="s">
        <v>39</v>
      </c>
      <c r="B14" t="s">
        <v>57</v>
      </c>
      <c r="C14" t="s">
        <v>51</v>
      </c>
      <c r="D14">
        <v>45</v>
      </c>
      <c r="E14" t="s">
        <v>174</v>
      </c>
      <c r="F14" t="s">
        <v>135</v>
      </c>
      <c r="H14" t="s">
        <v>91</v>
      </c>
    </row>
    <row r="15" spans="1:11" x14ac:dyDescent="0.25">
      <c r="A15" t="s">
        <v>92</v>
      </c>
      <c r="B15" t="s">
        <v>56</v>
      </c>
      <c r="C15" t="s">
        <v>52</v>
      </c>
      <c r="D15">
        <v>0</v>
      </c>
      <c r="E15" t="s">
        <v>174</v>
      </c>
      <c r="F15" t="s">
        <v>135</v>
      </c>
      <c r="H15" t="s">
        <v>91</v>
      </c>
    </row>
    <row r="16" spans="1:11" x14ac:dyDescent="0.25">
      <c r="A16" t="s">
        <v>93</v>
      </c>
      <c r="B16" t="s">
        <v>55</v>
      </c>
      <c r="C16" t="s">
        <v>53</v>
      </c>
      <c r="D16">
        <v>19</v>
      </c>
      <c r="E16" t="s">
        <v>174</v>
      </c>
      <c r="F16" t="s">
        <v>135</v>
      </c>
      <c r="H16" t="s">
        <v>91</v>
      </c>
    </row>
    <row r="17" spans="1:8" x14ac:dyDescent="0.25">
      <c r="A17" t="s">
        <v>94</v>
      </c>
      <c r="B17" t="s">
        <v>54</v>
      </c>
      <c r="C17" t="s">
        <v>74</v>
      </c>
      <c r="D17">
        <v>1</v>
      </c>
      <c r="E17" t="s">
        <v>174</v>
      </c>
      <c r="F17" t="s">
        <v>135</v>
      </c>
      <c r="H17" t="s">
        <v>91</v>
      </c>
    </row>
    <row r="18" spans="1:8" x14ac:dyDescent="0.25">
      <c r="A18" t="s">
        <v>95</v>
      </c>
      <c r="B18" t="s">
        <v>58</v>
      </c>
      <c r="C18" t="s">
        <v>80</v>
      </c>
      <c r="D18">
        <v>81</v>
      </c>
      <c r="E18" t="s">
        <v>174</v>
      </c>
      <c r="F18" t="s">
        <v>135</v>
      </c>
      <c r="H18" t="s">
        <v>91</v>
      </c>
    </row>
    <row r="19" spans="1:8" x14ac:dyDescent="0.25">
      <c r="A19" t="s">
        <v>96</v>
      </c>
      <c r="B19" t="s">
        <v>59</v>
      </c>
      <c r="C19" t="s">
        <v>81</v>
      </c>
      <c r="D19">
        <v>71</v>
      </c>
      <c r="E19" t="s">
        <v>174</v>
      </c>
      <c r="F19" t="s">
        <v>135</v>
      </c>
      <c r="H19" t="s">
        <v>91</v>
      </c>
    </row>
    <row r="20" spans="1:8" x14ac:dyDescent="0.25">
      <c r="A20" t="s">
        <v>97</v>
      </c>
      <c r="B20" t="s">
        <v>60</v>
      </c>
      <c r="C20" t="s">
        <v>85</v>
      </c>
      <c r="D20">
        <v>71</v>
      </c>
      <c r="E20" t="s">
        <v>174</v>
      </c>
      <c r="F20" t="s">
        <v>135</v>
      </c>
      <c r="H20" t="s">
        <v>91</v>
      </c>
    </row>
    <row r="21" spans="1:8" x14ac:dyDescent="0.25">
      <c r="A21" t="s">
        <v>98</v>
      </c>
      <c r="B21" t="s">
        <v>61</v>
      </c>
      <c r="C21" t="s">
        <v>84</v>
      </c>
      <c r="D21">
        <v>21</v>
      </c>
      <c r="E21" t="s">
        <v>174</v>
      </c>
      <c r="F21" t="s">
        <v>135</v>
      </c>
      <c r="H21" t="s">
        <v>91</v>
      </c>
    </row>
    <row r="22" spans="1:8" x14ac:dyDescent="0.25">
      <c r="A22" t="s">
        <v>99</v>
      </c>
      <c r="B22" t="s">
        <v>62</v>
      </c>
      <c r="C22" t="s">
        <v>75</v>
      </c>
      <c r="D22">
        <v>80</v>
      </c>
      <c r="E22" t="s">
        <v>174</v>
      </c>
      <c r="F22" t="s">
        <v>135</v>
      </c>
      <c r="H22" t="s">
        <v>91</v>
      </c>
    </row>
    <row r="23" spans="1:8" x14ac:dyDescent="0.25">
      <c r="A23" t="s">
        <v>100</v>
      </c>
      <c r="B23" t="s">
        <v>63</v>
      </c>
      <c r="C23" t="s">
        <v>83</v>
      </c>
      <c r="D23">
        <v>68</v>
      </c>
      <c r="E23" t="s">
        <v>174</v>
      </c>
      <c r="F23" t="s">
        <v>135</v>
      </c>
      <c r="H23" t="s">
        <v>91</v>
      </c>
    </row>
    <row r="24" spans="1:8" x14ac:dyDescent="0.25">
      <c r="A24" t="s">
        <v>101</v>
      </c>
      <c r="B24" t="s">
        <v>64</v>
      </c>
      <c r="C24" t="s">
        <v>82</v>
      </c>
      <c r="D24">
        <v>82</v>
      </c>
      <c r="E24" t="s">
        <v>174</v>
      </c>
      <c r="F24" t="s">
        <v>135</v>
      </c>
      <c r="H24" t="s">
        <v>91</v>
      </c>
    </row>
    <row r="25" spans="1:8" x14ac:dyDescent="0.25">
      <c r="A25" t="s">
        <v>102</v>
      </c>
      <c r="B25" t="s">
        <v>65</v>
      </c>
      <c r="C25" t="s">
        <v>76</v>
      </c>
      <c r="D25">
        <v>22</v>
      </c>
      <c r="E25" t="s">
        <v>174</v>
      </c>
      <c r="F25" t="s">
        <v>135</v>
      </c>
      <c r="H25" t="s">
        <v>91</v>
      </c>
    </row>
    <row r="26" spans="1:8" x14ac:dyDescent="0.25">
      <c r="A26" t="s">
        <v>103</v>
      </c>
      <c r="B26" t="s">
        <v>66</v>
      </c>
      <c r="C26" t="s">
        <v>77</v>
      </c>
      <c r="D26">
        <v>81</v>
      </c>
      <c r="E26" t="s">
        <v>174</v>
      </c>
      <c r="F26" t="s">
        <v>135</v>
      </c>
      <c r="H26" t="s">
        <v>91</v>
      </c>
    </row>
    <row r="27" spans="1:8" x14ac:dyDescent="0.25">
      <c r="A27" t="s">
        <v>104</v>
      </c>
      <c r="B27" t="s">
        <v>67</v>
      </c>
      <c r="C27" t="s">
        <v>78</v>
      </c>
      <c r="D27">
        <v>340</v>
      </c>
      <c r="E27" t="s">
        <v>175</v>
      </c>
      <c r="F27" t="s">
        <v>135</v>
      </c>
      <c r="H27" t="s">
        <v>91</v>
      </c>
    </row>
    <row r="28" spans="1:8" x14ac:dyDescent="0.25">
      <c r="A28" t="s">
        <v>105</v>
      </c>
      <c r="B28" t="s">
        <v>68</v>
      </c>
      <c r="C28" t="s">
        <v>79</v>
      </c>
      <c r="D28">
        <v>1</v>
      </c>
      <c r="E28" t="s">
        <v>174</v>
      </c>
      <c r="F28" t="s">
        <v>135</v>
      </c>
      <c r="H28" t="s">
        <v>91</v>
      </c>
    </row>
    <row r="29" spans="1:8" x14ac:dyDescent="0.25">
      <c r="A29" t="s">
        <v>106</v>
      </c>
      <c r="B29" t="s">
        <v>69</v>
      </c>
      <c r="C29" t="s">
        <v>86</v>
      </c>
      <c r="D29">
        <v>400</v>
      </c>
      <c r="E29" t="s">
        <v>175</v>
      </c>
      <c r="F29" t="s">
        <v>135</v>
      </c>
      <c r="H29" t="s">
        <v>91</v>
      </c>
    </row>
    <row r="30" spans="1:8" x14ac:dyDescent="0.25">
      <c r="A30" t="s">
        <v>107</v>
      </c>
      <c r="B30" t="s">
        <v>70</v>
      </c>
      <c r="C30" t="s">
        <v>87</v>
      </c>
      <c r="D30">
        <v>430</v>
      </c>
      <c r="E30" t="s">
        <v>175</v>
      </c>
      <c r="F30" t="s">
        <v>135</v>
      </c>
      <c r="H30" t="s">
        <v>91</v>
      </c>
    </row>
    <row r="31" spans="1:8" x14ac:dyDescent="0.25">
      <c r="A31" t="s">
        <v>108</v>
      </c>
      <c r="B31" t="s">
        <v>71</v>
      </c>
      <c r="C31" t="s">
        <v>88</v>
      </c>
      <c r="D31">
        <v>400</v>
      </c>
      <c r="E31" t="s">
        <v>175</v>
      </c>
      <c r="F31" t="s">
        <v>135</v>
      </c>
      <c r="H31" t="s">
        <v>91</v>
      </c>
    </row>
    <row r="32" spans="1:8" x14ac:dyDescent="0.25">
      <c r="A32" t="s">
        <v>109</v>
      </c>
      <c r="B32" t="s">
        <v>72</v>
      </c>
      <c r="C32" t="s">
        <v>89</v>
      </c>
      <c r="D32">
        <v>200</v>
      </c>
      <c r="E32" t="s">
        <v>175</v>
      </c>
      <c r="F32" t="s">
        <v>135</v>
      </c>
      <c r="H32" t="s">
        <v>91</v>
      </c>
    </row>
    <row r="33" spans="1:8" x14ac:dyDescent="0.25">
      <c r="A33" t="s">
        <v>110</v>
      </c>
      <c r="B33" t="s">
        <v>73</v>
      </c>
      <c r="C33" t="s">
        <v>90</v>
      </c>
      <c r="D33">
        <v>480</v>
      </c>
      <c r="E33" t="s">
        <v>175</v>
      </c>
      <c r="F33" t="s">
        <v>135</v>
      </c>
      <c r="H33" t="s">
        <v>91</v>
      </c>
    </row>
    <row r="34" spans="1:8" x14ac:dyDescent="0.25">
      <c r="A34" t="s">
        <v>111</v>
      </c>
      <c r="B34" t="s">
        <v>45</v>
      </c>
      <c r="C34" t="s">
        <v>129</v>
      </c>
      <c r="D34">
        <v>0</v>
      </c>
      <c r="E34" t="s">
        <v>146</v>
      </c>
      <c r="F34" t="s">
        <v>136</v>
      </c>
      <c r="H34" t="s">
        <v>44</v>
      </c>
    </row>
    <row r="35" spans="1:8" x14ac:dyDescent="0.25">
      <c r="A35" t="s">
        <v>112</v>
      </c>
      <c r="B35" t="s">
        <v>46</v>
      </c>
      <c r="C35" t="s">
        <v>130</v>
      </c>
      <c r="D35">
        <v>0</v>
      </c>
      <c r="E35" t="s">
        <v>146</v>
      </c>
      <c r="F35" t="s">
        <v>136</v>
      </c>
      <c r="H35" t="s">
        <v>44</v>
      </c>
    </row>
    <row r="36" spans="1:8" x14ac:dyDescent="0.25">
      <c r="A36" t="s">
        <v>113</v>
      </c>
      <c r="B36" t="s">
        <v>47</v>
      </c>
      <c r="C36" t="s">
        <v>131</v>
      </c>
      <c r="D36">
        <v>0</v>
      </c>
      <c r="E36" t="s">
        <v>146</v>
      </c>
      <c r="F36" t="s">
        <v>136</v>
      </c>
      <c r="H36" t="s">
        <v>44</v>
      </c>
    </row>
    <row r="37" spans="1:8" x14ac:dyDescent="0.25">
      <c r="A37" t="s">
        <v>114</v>
      </c>
      <c r="B37" t="s">
        <v>48</v>
      </c>
      <c r="C37" t="s">
        <v>132</v>
      </c>
      <c r="D37">
        <v>0</v>
      </c>
      <c r="E37" t="s">
        <v>146</v>
      </c>
      <c r="F37" t="s">
        <v>136</v>
      </c>
      <c r="H37" t="s">
        <v>44</v>
      </c>
    </row>
    <row r="38" spans="1:8" x14ac:dyDescent="0.25">
      <c r="A38" t="s">
        <v>115</v>
      </c>
      <c r="B38" t="s">
        <v>49</v>
      </c>
      <c r="C38" t="s">
        <v>42</v>
      </c>
      <c r="D38">
        <v>0</v>
      </c>
      <c r="E38" t="s">
        <v>146</v>
      </c>
      <c r="F38" t="s">
        <v>136</v>
      </c>
      <c r="H38" t="s">
        <v>44</v>
      </c>
    </row>
    <row r="39" spans="1:8" x14ac:dyDescent="0.25">
      <c r="A39" t="s">
        <v>116</v>
      </c>
      <c r="B39" t="s">
        <v>50</v>
      </c>
      <c r="C39" t="s">
        <v>43</v>
      </c>
      <c r="D39">
        <v>0</v>
      </c>
      <c r="E39" t="s">
        <v>146</v>
      </c>
      <c r="F39" t="s">
        <v>136</v>
      </c>
      <c r="H39" t="s">
        <v>44</v>
      </c>
    </row>
    <row r="40" spans="1:8" x14ac:dyDescent="0.25">
      <c r="A40" t="s">
        <v>117</v>
      </c>
      <c r="B40" t="s">
        <v>2208</v>
      </c>
      <c r="C40" t="s">
        <v>138</v>
      </c>
      <c r="D40">
        <v>0</v>
      </c>
      <c r="E40" t="s">
        <v>174</v>
      </c>
      <c r="F40" t="s">
        <v>136</v>
      </c>
      <c r="H40" t="s">
        <v>139</v>
      </c>
    </row>
    <row r="41" spans="1:8" x14ac:dyDescent="0.25">
      <c r="A41" t="s">
        <v>127</v>
      </c>
      <c r="B41" t="s">
        <v>2209</v>
      </c>
      <c r="C41" t="s">
        <v>2207</v>
      </c>
      <c r="D41">
        <v>0</v>
      </c>
      <c r="E41" t="s">
        <v>174</v>
      </c>
      <c r="F41" t="s">
        <v>136</v>
      </c>
      <c r="H41" t="s">
        <v>139</v>
      </c>
    </row>
    <row r="42" spans="1:8" x14ac:dyDescent="0.25">
      <c r="A42" t="s">
        <v>128</v>
      </c>
      <c r="B42" t="s">
        <v>180</v>
      </c>
      <c r="C42" t="s">
        <v>183</v>
      </c>
      <c r="D42">
        <v>10</v>
      </c>
      <c r="E42" t="s">
        <v>174</v>
      </c>
      <c r="F42" t="s">
        <v>186</v>
      </c>
      <c r="H42" t="s">
        <v>2197</v>
      </c>
    </row>
    <row r="43" spans="1:8" x14ac:dyDescent="0.25">
      <c r="A43" t="s">
        <v>2206</v>
      </c>
      <c r="B43" t="s">
        <v>181</v>
      </c>
      <c r="C43" t="s">
        <v>184</v>
      </c>
      <c r="D43">
        <v>0</v>
      </c>
      <c r="E43" t="s">
        <v>174</v>
      </c>
      <c r="F43" t="s">
        <v>134</v>
      </c>
      <c r="H43" t="s">
        <v>2196</v>
      </c>
    </row>
    <row r="44" spans="1:8" x14ac:dyDescent="0.25">
      <c r="A44" t="s">
        <v>2402</v>
      </c>
      <c r="B44" t="s">
        <v>182</v>
      </c>
      <c r="C44" t="s">
        <v>185</v>
      </c>
      <c r="D44">
        <v>0</v>
      </c>
      <c r="E44" t="s">
        <v>174</v>
      </c>
      <c r="F44" t="s">
        <v>136</v>
      </c>
      <c r="H44" t="s">
        <v>2197</v>
      </c>
    </row>
  </sheetData>
  <autoFilter ref="A1:H44" xr:uid="{B27BB632-24CC-4EF8-8CA2-02AC730BD2EF}"/>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B3423-51AA-470B-AAB3-5E2148D3FAA2}">
  <dimension ref="A1:S68"/>
  <sheetViews>
    <sheetView workbookViewId="0">
      <selection activeCell="B72" sqref="B72"/>
    </sheetView>
  </sheetViews>
  <sheetFormatPr baseColWidth="10" defaultRowHeight="15" x14ac:dyDescent="0.25"/>
  <cols>
    <col min="1" max="1" width="15.5703125" bestFit="1" customWidth="1"/>
    <col min="2" max="2" width="29.5703125" bestFit="1" customWidth="1"/>
    <col min="3" max="3" width="21.42578125" bestFit="1" customWidth="1"/>
    <col min="4" max="4" width="50.28515625" bestFit="1" customWidth="1"/>
    <col min="5" max="5" width="12.140625" bestFit="1" customWidth="1"/>
    <col min="6" max="6" width="11.42578125" bestFit="1" customWidth="1"/>
    <col min="7" max="7" width="30.85546875" customWidth="1"/>
    <col min="8" max="8" width="30.7109375" customWidth="1"/>
    <col min="9" max="9" width="12.28515625" bestFit="1" customWidth="1"/>
    <col min="10" max="10" width="60.28515625" bestFit="1" customWidth="1"/>
    <col min="11" max="11" width="14.28515625" bestFit="1" customWidth="1"/>
    <col min="12" max="12" width="17.5703125" bestFit="1" customWidth="1"/>
    <col min="13" max="13" width="21" bestFit="1" customWidth="1"/>
    <col min="14" max="14" width="25.28515625" bestFit="1" customWidth="1"/>
    <col min="15" max="15" width="15.5703125" customWidth="1"/>
    <col min="16" max="16" width="21.42578125" bestFit="1" customWidth="1"/>
    <col min="17" max="17" width="18.42578125" bestFit="1" customWidth="1"/>
    <col min="18" max="18" width="17.28515625" bestFit="1" customWidth="1"/>
    <col min="19" max="19" width="22.85546875" bestFit="1" customWidth="1"/>
  </cols>
  <sheetData>
    <row r="1" spans="1:19" x14ac:dyDescent="0.25">
      <c r="A1" s="2" t="s">
        <v>5</v>
      </c>
      <c r="B1" s="2" t="s">
        <v>6</v>
      </c>
      <c r="C1" s="2" t="s">
        <v>140</v>
      </c>
      <c r="D1" s="2" t="s">
        <v>7</v>
      </c>
      <c r="E1" s="2" t="s">
        <v>8</v>
      </c>
      <c r="F1" s="2" t="s">
        <v>9</v>
      </c>
      <c r="G1" s="2" t="s">
        <v>10</v>
      </c>
      <c r="H1" s="2" t="s">
        <v>150</v>
      </c>
      <c r="I1" s="2" t="s">
        <v>11</v>
      </c>
      <c r="J1" s="1" t="s">
        <v>1</v>
      </c>
      <c r="K1" s="2" t="s">
        <v>12</v>
      </c>
      <c r="L1" s="2" t="s">
        <v>208</v>
      </c>
      <c r="M1" s="2" t="s">
        <v>209</v>
      </c>
      <c r="N1" s="2" t="s">
        <v>210</v>
      </c>
      <c r="O1" s="2" t="s">
        <v>147</v>
      </c>
      <c r="P1" s="2" t="s">
        <v>13</v>
      </c>
      <c r="Q1" s="2" t="s">
        <v>14</v>
      </c>
      <c r="R1" s="2" t="s">
        <v>15</v>
      </c>
      <c r="S1" s="2" t="s">
        <v>211</v>
      </c>
    </row>
    <row r="2" spans="1:19" x14ac:dyDescent="0.25">
      <c r="A2" t="s">
        <v>158</v>
      </c>
      <c r="B2" t="s">
        <v>21</v>
      </c>
      <c r="C2" t="s">
        <v>141</v>
      </c>
      <c r="D2" t="s">
        <v>142</v>
      </c>
      <c r="E2" t="s">
        <v>143</v>
      </c>
      <c r="F2" t="s">
        <v>144</v>
      </c>
      <c r="G2" s="3" t="s">
        <v>145</v>
      </c>
      <c r="H2" s="3" t="s">
        <v>149</v>
      </c>
      <c r="I2" t="s">
        <v>27</v>
      </c>
      <c r="J2" t="s">
        <v>120</v>
      </c>
      <c r="K2" s="4">
        <v>4400</v>
      </c>
      <c r="L2" t="s">
        <v>146</v>
      </c>
      <c r="M2" t="s">
        <v>146</v>
      </c>
      <c r="N2">
        <v>25</v>
      </c>
      <c r="O2">
        <v>4</v>
      </c>
      <c r="P2" t="s">
        <v>148</v>
      </c>
      <c r="Q2">
        <v>7</v>
      </c>
      <c r="R2" t="s">
        <v>151</v>
      </c>
      <c r="S2">
        <v>0</v>
      </c>
    </row>
    <row r="3" spans="1:19" x14ac:dyDescent="0.25">
      <c r="A3" t="s">
        <v>158</v>
      </c>
      <c r="B3" t="s">
        <v>21</v>
      </c>
      <c r="C3" t="s">
        <v>141</v>
      </c>
      <c r="D3" t="s">
        <v>142</v>
      </c>
      <c r="E3" t="s">
        <v>143</v>
      </c>
      <c r="F3" t="s">
        <v>144</v>
      </c>
      <c r="G3" s="3" t="s">
        <v>145</v>
      </c>
      <c r="H3" s="3" t="s">
        <v>149</v>
      </c>
      <c r="I3" t="s">
        <v>28</v>
      </c>
      <c r="J3" t="s">
        <v>177</v>
      </c>
      <c r="K3" s="4">
        <v>2941</v>
      </c>
      <c r="L3" t="s">
        <v>146</v>
      </c>
      <c r="M3" t="s">
        <v>146</v>
      </c>
      <c r="N3">
        <v>250</v>
      </c>
      <c r="O3">
        <v>4</v>
      </c>
      <c r="P3" t="s">
        <v>148</v>
      </c>
      <c r="Q3">
        <v>7</v>
      </c>
      <c r="R3" t="s">
        <v>151</v>
      </c>
      <c r="S3">
        <v>0</v>
      </c>
    </row>
    <row r="4" spans="1:19" x14ac:dyDescent="0.25">
      <c r="A4" t="s">
        <v>158</v>
      </c>
      <c r="B4" t="s">
        <v>21</v>
      </c>
      <c r="C4" t="s">
        <v>141</v>
      </c>
      <c r="D4" t="s">
        <v>142</v>
      </c>
      <c r="E4" t="s">
        <v>143</v>
      </c>
      <c r="F4" t="s">
        <v>144</v>
      </c>
      <c r="G4" s="3" t="s">
        <v>145</v>
      </c>
      <c r="H4" s="3" t="s">
        <v>149</v>
      </c>
      <c r="I4" t="s">
        <v>29</v>
      </c>
      <c r="J4" t="s">
        <v>119</v>
      </c>
      <c r="K4" s="4">
        <v>1446</v>
      </c>
      <c r="L4" t="s">
        <v>146</v>
      </c>
      <c r="M4" t="s">
        <v>146</v>
      </c>
      <c r="N4">
        <v>250</v>
      </c>
      <c r="O4">
        <v>4</v>
      </c>
      <c r="P4" t="s">
        <v>148</v>
      </c>
      <c r="Q4">
        <v>7</v>
      </c>
      <c r="R4" t="s">
        <v>151</v>
      </c>
      <c r="S4">
        <v>0</v>
      </c>
    </row>
    <row r="5" spans="1:19" x14ac:dyDescent="0.25">
      <c r="A5" t="s">
        <v>158</v>
      </c>
      <c r="B5" t="s">
        <v>21</v>
      </c>
      <c r="C5" t="s">
        <v>141</v>
      </c>
      <c r="D5" t="s">
        <v>142</v>
      </c>
      <c r="E5" t="s">
        <v>143</v>
      </c>
      <c r="F5" t="s">
        <v>144</v>
      </c>
      <c r="G5" s="3" t="s">
        <v>145</v>
      </c>
      <c r="H5" s="3" t="s">
        <v>149</v>
      </c>
      <c r="I5" t="s">
        <v>30</v>
      </c>
      <c r="J5" t="s">
        <v>166</v>
      </c>
      <c r="K5" s="4">
        <v>2425</v>
      </c>
      <c r="L5" t="s">
        <v>146</v>
      </c>
      <c r="M5" t="s">
        <v>146</v>
      </c>
      <c r="N5">
        <v>24</v>
      </c>
      <c r="O5">
        <v>4</v>
      </c>
      <c r="P5" t="s">
        <v>148</v>
      </c>
      <c r="Q5">
        <v>7</v>
      </c>
      <c r="R5" t="s">
        <v>151</v>
      </c>
      <c r="S5">
        <v>0</v>
      </c>
    </row>
    <row r="6" spans="1:19" x14ac:dyDescent="0.25">
      <c r="A6" t="s">
        <v>158</v>
      </c>
      <c r="B6" t="s">
        <v>21</v>
      </c>
      <c r="C6" t="s">
        <v>141</v>
      </c>
      <c r="D6" t="s">
        <v>142</v>
      </c>
      <c r="E6" t="s">
        <v>143</v>
      </c>
      <c r="F6" t="s">
        <v>144</v>
      </c>
      <c r="G6" s="3" t="s">
        <v>145</v>
      </c>
      <c r="H6" s="3" t="s">
        <v>149</v>
      </c>
      <c r="I6" t="s">
        <v>31</v>
      </c>
      <c r="J6" t="s">
        <v>167</v>
      </c>
      <c r="K6" s="4">
        <v>1387.5</v>
      </c>
      <c r="L6" t="s">
        <v>173</v>
      </c>
      <c r="M6" t="s">
        <v>173</v>
      </c>
      <c r="N6">
        <v>20</v>
      </c>
      <c r="O6">
        <v>4</v>
      </c>
      <c r="P6" t="s">
        <v>148</v>
      </c>
      <c r="Q6">
        <v>30</v>
      </c>
      <c r="R6" t="s">
        <v>151</v>
      </c>
      <c r="S6">
        <v>0</v>
      </c>
    </row>
    <row r="7" spans="1:19" x14ac:dyDescent="0.25">
      <c r="A7" t="s">
        <v>158</v>
      </c>
      <c r="B7" t="s">
        <v>21</v>
      </c>
      <c r="C7" t="s">
        <v>141</v>
      </c>
      <c r="D7" t="s">
        <v>142</v>
      </c>
      <c r="E7" t="s">
        <v>143</v>
      </c>
      <c r="F7" t="s">
        <v>144</v>
      </c>
      <c r="G7" s="3" t="s">
        <v>145</v>
      </c>
      <c r="H7" s="3" t="s">
        <v>149</v>
      </c>
      <c r="I7" t="s">
        <v>32</v>
      </c>
      <c r="J7" t="s">
        <v>168</v>
      </c>
      <c r="K7" s="4">
        <v>14348.7</v>
      </c>
      <c r="L7" t="s">
        <v>173</v>
      </c>
      <c r="M7" t="s">
        <v>173</v>
      </c>
      <c r="N7">
        <v>20</v>
      </c>
      <c r="O7">
        <v>4</v>
      </c>
      <c r="P7" t="s">
        <v>148</v>
      </c>
      <c r="Q7">
        <v>7</v>
      </c>
      <c r="R7" t="s">
        <v>151</v>
      </c>
      <c r="S7">
        <v>0</v>
      </c>
    </row>
    <row r="8" spans="1:19" x14ac:dyDescent="0.25">
      <c r="A8" t="s">
        <v>158</v>
      </c>
      <c r="B8" t="s">
        <v>21</v>
      </c>
      <c r="C8" t="s">
        <v>141</v>
      </c>
      <c r="D8" t="s">
        <v>142</v>
      </c>
      <c r="E8" t="s">
        <v>143</v>
      </c>
      <c r="F8" t="s">
        <v>144</v>
      </c>
      <c r="G8" s="3" t="s">
        <v>145</v>
      </c>
      <c r="H8" s="3" t="s">
        <v>149</v>
      </c>
      <c r="I8" t="s">
        <v>33</v>
      </c>
      <c r="J8" t="s">
        <v>123</v>
      </c>
      <c r="K8" s="4">
        <v>3333</v>
      </c>
      <c r="L8" t="s">
        <v>146</v>
      </c>
      <c r="M8" t="s">
        <v>146</v>
      </c>
      <c r="N8">
        <v>30</v>
      </c>
      <c r="O8">
        <v>4</v>
      </c>
      <c r="P8" t="s">
        <v>148</v>
      </c>
      <c r="Q8">
        <v>7</v>
      </c>
      <c r="R8" t="s">
        <v>151</v>
      </c>
      <c r="S8">
        <v>0</v>
      </c>
    </row>
    <row r="9" spans="1:19" x14ac:dyDescent="0.25">
      <c r="A9" t="s">
        <v>158</v>
      </c>
      <c r="B9" t="s">
        <v>21</v>
      </c>
      <c r="C9" t="s">
        <v>141</v>
      </c>
      <c r="D9" t="s">
        <v>142</v>
      </c>
      <c r="E9" t="s">
        <v>143</v>
      </c>
      <c r="F9" t="s">
        <v>144</v>
      </c>
      <c r="G9" s="3" t="s">
        <v>145</v>
      </c>
      <c r="H9" s="3" t="s">
        <v>149</v>
      </c>
      <c r="I9" t="s">
        <v>35</v>
      </c>
      <c r="J9" t="s">
        <v>122</v>
      </c>
      <c r="K9" s="4">
        <v>20000</v>
      </c>
      <c r="L9" t="s">
        <v>146</v>
      </c>
      <c r="M9" t="s">
        <v>146</v>
      </c>
      <c r="N9">
        <v>1</v>
      </c>
      <c r="O9">
        <v>4</v>
      </c>
      <c r="P9" t="s">
        <v>148</v>
      </c>
      <c r="Q9">
        <v>7</v>
      </c>
      <c r="R9" t="s">
        <v>151</v>
      </c>
      <c r="S9">
        <v>0</v>
      </c>
    </row>
    <row r="10" spans="1:19" x14ac:dyDescent="0.25">
      <c r="A10" t="s">
        <v>158</v>
      </c>
      <c r="B10" t="s">
        <v>21</v>
      </c>
      <c r="C10" t="s">
        <v>141</v>
      </c>
      <c r="D10" t="s">
        <v>142</v>
      </c>
      <c r="E10" t="s">
        <v>143</v>
      </c>
      <c r="F10" t="s">
        <v>144</v>
      </c>
      <c r="G10" s="3" t="s">
        <v>145</v>
      </c>
      <c r="H10" s="3" t="s">
        <v>149</v>
      </c>
      <c r="I10" t="s">
        <v>37</v>
      </c>
      <c r="J10" t="s">
        <v>179</v>
      </c>
      <c r="K10" s="4">
        <v>6723</v>
      </c>
      <c r="L10" t="s">
        <v>146</v>
      </c>
      <c r="M10" t="s">
        <v>146</v>
      </c>
      <c r="N10">
        <v>1</v>
      </c>
      <c r="O10">
        <v>4</v>
      </c>
      <c r="P10" t="s">
        <v>148</v>
      </c>
      <c r="Q10">
        <v>7</v>
      </c>
      <c r="R10" t="s">
        <v>151</v>
      </c>
      <c r="S10">
        <v>0</v>
      </c>
    </row>
    <row r="11" spans="1:19" x14ac:dyDescent="0.25">
      <c r="A11" t="s">
        <v>159</v>
      </c>
      <c r="B11" t="s">
        <v>23</v>
      </c>
      <c r="C11" t="s">
        <v>152</v>
      </c>
      <c r="D11" t="s">
        <v>169</v>
      </c>
      <c r="E11" t="s">
        <v>153</v>
      </c>
      <c r="F11">
        <v>3132085271</v>
      </c>
      <c r="G11" s="3" t="s">
        <v>170</v>
      </c>
      <c r="H11" s="3" t="s">
        <v>154</v>
      </c>
      <c r="I11" t="s">
        <v>27</v>
      </c>
      <c r="J11" t="s">
        <v>120</v>
      </c>
      <c r="K11" s="4">
        <v>4450</v>
      </c>
      <c r="L11" t="s">
        <v>146</v>
      </c>
      <c r="M11" t="s">
        <v>146</v>
      </c>
      <c r="N11">
        <v>25</v>
      </c>
      <c r="O11">
        <v>2</v>
      </c>
      <c r="P11" t="s">
        <v>148</v>
      </c>
      <c r="Q11">
        <v>7</v>
      </c>
      <c r="R11" t="s">
        <v>212</v>
      </c>
      <c r="S11">
        <v>8</v>
      </c>
    </row>
    <row r="12" spans="1:19" x14ac:dyDescent="0.25">
      <c r="A12" t="s">
        <v>159</v>
      </c>
      <c r="B12" t="s">
        <v>23</v>
      </c>
      <c r="C12" t="s">
        <v>152</v>
      </c>
      <c r="D12" t="s">
        <v>169</v>
      </c>
      <c r="E12" t="s">
        <v>153</v>
      </c>
      <c r="F12">
        <v>3132085271</v>
      </c>
      <c r="G12" s="3" t="s">
        <v>170</v>
      </c>
      <c r="H12" s="3" t="s">
        <v>154</v>
      </c>
      <c r="I12" t="s">
        <v>28</v>
      </c>
      <c r="J12" t="s">
        <v>177</v>
      </c>
      <c r="K12" s="4">
        <v>2700</v>
      </c>
      <c r="L12" t="s">
        <v>146</v>
      </c>
      <c r="M12" t="s">
        <v>146</v>
      </c>
      <c r="N12">
        <v>250</v>
      </c>
      <c r="O12">
        <v>2</v>
      </c>
      <c r="P12" t="s">
        <v>148</v>
      </c>
      <c r="Q12">
        <v>7</v>
      </c>
      <c r="R12" t="s">
        <v>212</v>
      </c>
      <c r="S12">
        <v>8</v>
      </c>
    </row>
    <row r="13" spans="1:19" x14ac:dyDescent="0.25">
      <c r="A13" t="s">
        <v>159</v>
      </c>
      <c r="B13" t="s">
        <v>23</v>
      </c>
      <c r="C13" t="s">
        <v>152</v>
      </c>
      <c r="D13" t="s">
        <v>169</v>
      </c>
      <c r="E13" t="s">
        <v>153</v>
      </c>
      <c r="F13">
        <v>3132085271</v>
      </c>
      <c r="G13" s="3" t="s">
        <v>170</v>
      </c>
      <c r="H13" s="3" t="s">
        <v>154</v>
      </c>
      <c r="I13" t="s">
        <v>29</v>
      </c>
      <c r="J13" t="s">
        <v>119</v>
      </c>
      <c r="K13" s="4">
        <v>2250</v>
      </c>
      <c r="L13" t="s">
        <v>146</v>
      </c>
      <c r="M13" t="s">
        <v>146</v>
      </c>
      <c r="N13">
        <v>250</v>
      </c>
      <c r="O13">
        <v>2</v>
      </c>
      <c r="P13" t="s">
        <v>148</v>
      </c>
      <c r="Q13">
        <v>7</v>
      </c>
      <c r="R13" t="s">
        <v>212</v>
      </c>
      <c r="S13">
        <v>8</v>
      </c>
    </row>
    <row r="14" spans="1:19" x14ac:dyDescent="0.25">
      <c r="A14" t="s">
        <v>159</v>
      </c>
      <c r="B14" t="s">
        <v>23</v>
      </c>
      <c r="C14" t="s">
        <v>152</v>
      </c>
      <c r="D14" t="s">
        <v>169</v>
      </c>
      <c r="E14" t="s">
        <v>153</v>
      </c>
      <c r="F14">
        <v>3132085271</v>
      </c>
      <c r="G14" s="3" t="s">
        <v>170</v>
      </c>
      <c r="H14" s="3" t="s">
        <v>154</v>
      </c>
      <c r="I14" t="s">
        <v>30</v>
      </c>
      <c r="J14" t="s">
        <v>166</v>
      </c>
      <c r="K14" s="4">
        <v>2700</v>
      </c>
      <c r="L14" t="s">
        <v>146</v>
      </c>
      <c r="M14" t="s">
        <v>146</v>
      </c>
      <c r="N14">
        <v>24</v>
      </c>
      <c r="O14">
        <v>2</v>
      </c>
      <c r="P14" t="s">
        <v>148</v>
      </c>
      <c r="Q14">
        <v>7</v>
      </c>
      <c r="R14" t="s">
        <v>212</v>
      </c>
      <c r="S14">
        <v>8</v>
      </c>
    </row>
    <row r="15" spans="1:19" x14ac:dyDescent="0.25">
      <c r="A15" t="s">
        <v>159</v>
      </c>
      <c r="B15" t="s">
        <v>23</v>
      </c>
      <c r="C15" t="s">
        <v>152</v>
      </c>
      <c r="D15" t="s">
        <v>169</v>
      </c>
      <c r="E15" t="s">
        <v>153</v>
      </c>
      <c r="F15">
        <v>3132085271</v>
      </c>
      <c r="G15" s="3" t="s">
        <v>170</v>
      </c>
      <c r="H15" s="3" t="s">
        <v>154</v>
      </c>
      <c r="I15" t="s">
        <v>31</v>
      </c>
      <c r="J15" t="s">
        <v>167</v>
      </c>
      <c r="K15" s="4">
        <v>1750</v>
      </c>
      <c r="L15" t="s">
        <v>173</v>
      </c>
      <c r="M15" t="s">
        <v>173</v>
      </c>
      <c r="N15">
        <v>20</v>
      </c>
      <c r="O15">
        <v>2</v>
      </c>
      <c r="P15" t="s">
        <v>148</v>
      </c>
      <c r="Q15">
        <v>30</v>
      </c>
      <c r="R15" t="s">
        <v>212</v>
      </c>
      <c r="S15">
        <v>8</v>
      </c>
    </row>
    <row r="16" spans="1:19" x14ac:dyDescent="0.25">
      <c r="A16" t="s">
        <v>159</v>
      </c>
      <c r="B16" t="s">
        <v>23</v>
      </c>
      <c r="C16" t="s">
        <v>152</v>
      </c>
      <c r="D16" t="s">
        <v>169</v>
      </c>
      <c r="E16" t="s">
        <v>153</v>
      </c>
      <c r="F16">
        <v>3132085271</v>
      </c>
      <c r="G16" s="3" t="s">
        <v>170</v>
      </c>
      <c r="H16" s="3" t="s">
        <v>154</v>
      </c>
      <c r="I16" t="s">
        <v>32</v>
      </c>
      <c r="J16" t="s">
        <v>168</v>
      </c>
      <c r="K16" s="4">
        <f>387400/20</f>
        <v>19370</v>
      </c>
      <c r="L16" t="s">
        <v>173</v>
      </c>
      <c r="M16" t="s">
        <v>173</v>
      </c>
      <c r="N16">
        <v>20</v>
      </c>
      <c r="O16">
        <v>2</v>
      </c>
      <c r="P16" t="s">
        <v>148</v>
      </c>
      <c r="Q16">
        <v>7</v>
      </c>
      <c r="R16" t="s">
        <v>212</v>
      </c>
      <c r="S16">
        <v>8</v>
      </c>
    </row>
    <row r="17" spans="1:19" x14ac:dyDescent="0.25">
      <c r="A17" t="s">
        <v>159</v>
      </c>
      <c r="B17" t="s">
        <v>23</v>
      </c>
      <c r="C17" t="s">
        <v>152</v>
      </c>
      <c r="D17" t="s">
        <v>169</v>
      </c>
      <c r="E17" t="s">
        <v>153</v>
      </c>
      <c r="F17">
        <v>3132085271</v>
      </c>
      <c r="G17" s="3" t="s">
        <v>170</v>
      </c>
      <c r="H17" s="3" t="s">
        <v>154</v>
      </c>
      <c r="I17" t="s">
        <v>34</v>
      </c>
      <c r="J17" t="s">
        <v>121</v>
      </c>
      <c r="K17" s="4">
        <v>2500</v>
      </c>
      <c r="L17" t="s">
        <v>146</v>
      </c>
      <c r="M17" t="s">
        <v>146</v>
      </c>
      <c r="N17">
        <v>250</v>
      </c>
      <c r="O17">
        <v>2</v>
      </c>
      <c r="P17" t="s">
        <v>148</v>
      </c>
      <c r="Q17">
        <v>7</v>
      </c>
      <c r="R17" t="s">
        <v>212</v>
      </c>
      <c r="S17">
        <v>8</v>
      </c>
    </row>
    <row r="18" spans="1:19" x14ac:dyDescent="0.25">
      <c r="A18" t="s">
        <v>159</v>
      </c>
      <c r="B18" t="s">
        <v>23</v>
      </c>
      <c r="C18" t="s">
        <v>152</v>
      </c>
      <c r="D18" t="s">
        <v>169</v>
      </c>
      <c r="E18" t="s">
        <v>153</v>
      </c>
      <c r="F18">
        <v>3132085271</v>
      </c>
      <c r="G18" s="3" t="s">
        <v>170</v>
      </c>
      <c r="H18" s="3" t="s">
        <v>154</v>
      </c>
      <c r="I18" t="s">
        <v>35</v>
      </c>
      <c r="J18" t="s">
        <v>122</v>
      </c>
      <c r="K18" s="4">
        <v>25000</v>
      </c>
      <c r="L18" t="s">
        <v>146</v>
      </c>
      <c r="M18" t="s">
        <v>146</v>
      </c>
      <c r="N18">
        <v>1</v>
      </c>
      <c r="O18">
        <v>2</v>
      </c>
      <c r="P18" t="s">
        <v>148</v>
      </c>
      <c r="Q18">
        <v>7</v>
      </c>
      <c r="R18" t="s">
        <v>212</v>
      </c>
      <c r="S18">
        <v>8</v>
      </c>
    </row>
    <row r="19" spans="1:19" x14ac:dyDescent="0.25">
      <c r="A19" t="s">
        <v>159</v>
      </c>
      <c r="B19" t="s">
        <v>23</v>
      </c>
      <c r="C19" t="s">
        <v>152</v>
      </c>
      <c r="D19" t="s">
        <v>169</v>
      </c>
      <c r="E19" t="s">
        <v>153</v>
      </c>
      <c r="F19">
        <v>3132085271</v>
      </c>
      <c r="G19" s="3" t="s">
        <v>170</v>
      </c>
      <c r="H19" s="3" t="s">
        <v>154</v>
      </c>
      <c r="I19" t="s">
        <v>36</v>
      </c>
      <c r="J19" t="s">
        <v>124</v>
      </c>
      <c r="K19" s="4">
        <v>4200</v>
      </c>
      <c r="L19" t="s">
        <v>146</v>
      </c>
      <c r="M19" t="s">
        <v>146</v>
      </c>
      <c r="N19">
        <v>30</v>
      </c>
      <c r="O19">
        <v>2</v>
      </c>
      <c r="P19" t="s">
        <v>148</v>
      </c>
      <c r="Q19">
        <v>7</v>
      </c>
      <c r="R19" t="s">
        <v>212</v>
      </c>
      <c r="S19">
        <v>8</v>
      </c>
    </row>
    <row r="20" spans="1:19" x14ac:dyDescent="0.25">
      <c r="A20" t="s">
        <v>159</v>
      </c>
      <c r="B20" t="s">
        <v>23</v>
      </c>
      <c r="C20" t="s">
        <v>152</v>
      </c>
      <c r="D20" t="s">
        <v>169</v>
      </c>
      <c r="E20" t="s">
        <v>153</v>
      </c>
      <c r="F20">
        <v>3132085271</v>
      </c>
      <c r="G20" s="3" t="s">
        <v>170</v>
      </c>
      <c r="H20" s="3" t="s">
        <v>154</v>
      </c>
      <c r="I20" t="s">
        <v>37</v>
      </c>
      <c r="J20" t="s">
        <v>179</v>
      </c>
      <c r="K20" s="4">
        <v>12000</v>
      </c>
      <c r="L20" t="s">
        <v>146</v>
      </c>
      <c r="M20" t="s">
        <v>146</v>
      </c>
      <c r="N20">
        <v>1</v>
      </c>
      <c r="O20">
        <v>2</v>
      </c>
      <c r="P20" t="s">
        <v>148</v>
      </c>
      <c r="Q20">
        <v>7</v>
      </c>
      <c r="R20" t="s">
        <v>212</v>
      </c>
      <c r="S20">
        <v>8</v>
      </c>
    </row>
    <row r="21" spans="1:19" x14ac:dyDescent="0.25">
      <c r="A21" t="s">
        <v>160</v>
      </c>
      <c r="B21" t="s">
        <v>22</v>
      </c>
      <c r="C21" t="s">
        <v>155</v>
      </c>
      <c r="D21" t="s">
        <v>156</v>
      </c>
      <c r="E21" t="s">
        <v>176</v>
      </c>
      <c r="F21">
        <v>3507051990</v>
      </c>
      <c r="G21" s="3" t="s">
        <v>171</v>
      </c>
      <c r="H21" s="3" t="s">
        <v>157</v>
      </c>
      <c r="I21" t="s">
        <v>27</v>
      </c>
      <c r="J21" t="s">
        <v>120</v>
      </c>
      <c r="K21" s="4">
        <v>4800</v>
      </c>
      <c r="L21" t="s">
        <v>146</v>
      </c>
      <c r="M21" t="s">
        <v>146</v>
      </c>
      <c r="N21">
        <v>25</v>
      </c>
      <c r="O21">
        <v>5</v>
      </c>
      <c r="P21" t="s">
        <v>148</v>
      </c>
      <c r="Q21">
        <v>7</v>
      </c>
      <c r="R21" t="s">
        <v>151</v>
      </c>
      <c r="S21">
        <v>0</v>
      </c>
    </row>
    <row r="22" spans="1:19" x14ac:dyDescent="0.25">
      <c r="A22" t="s">
        <v>160</v>
      </c>
      <c r="B22" t="s">
        <v>22</v>
      </c>
      <c r="C22" t="s">
        <v>155</v>
      </c>
      <c r="D22" t="s">
        <v>156</v>
      </c>
      <c r="E22" t="s">
        <v>176</v>
      </c>
      <c r="F22">
        <v>3507051990</v>
      </c>
      <c r="G22" s="3" t="s">
        <v>171</v>
      </c>
      <c r="H22" s="3" t="s">
        <v>157</v>
      </c>
      <c r="I22" t="s">
        <v>28</v>
      </c>
      <c r="J22" t="s">
        <v>177</v>
      </c>
      <c r="K22" s="4">
        <v>2600</v>
      </c>
      <c r="L22" t="s">
        <v>146</v>
      </c>
      <c r="M22" t="s">
        <v>146</v>
      </c>
      <c r="N22">
        <v>250</v>
      </c>
      <c r="O22">
        <v>5</v>
      </c>
      <c r="P22" t="s">
        <v>148</v>
      </c>
      <c r="Q22">
        <v>7</v>
      </c>
      <c r="R22" t="s">
        <v>151</v>
      </c>
      <c r="S22">
        <v>0</v>
      </c>
    </row>
    <row r="23" spans="1:19" x14ac:dyDescent="0.25">
      <c r="A23" t="s">
        <v>160</v>
      </c>
      <c r="B23" t="s">
        <v>22</v>
      </c>
      <c r="C23" t="s">
        <v>155</v>
      </c>
      <c r="D23" t="s">
        <v>156</v>
      </c>
      <c r="E23" t="s">
        <v>176</v>
      </c>
      <c r="F23">
        <v>3507051990</v>
      </c>
      <c r="G23" s="3" t="s">
        <v>171</v>
      </c>
      <c r="H23" s="3" t="s">
        <v>157</v>
      </c>
      <c r="I23" t="s">
        <v>29</v>
      </c>
      <c r="J23" t="s">
        <v>119</v>
      </c>
      <c r="K23" s="4">
        <v>1600</v>
      </c>
      <c r="L23" t="s">
        <v>146</v>
      </c>
      <c r="M23" t="s">
        <v>146</v>
      </c>
      <c r="N23">
        <v>250</v>
      </c>
      <c r="O23">
        <v>5</v>
      </c>
      <c r="P23" t="s">
        <v>148</v>
      </c>
      <c r="Q23">
        <v>7</v>
      </c>
      <c r="R23" t="s">
        <v>151</v>
      </c>
      <c r="S23">
        <v>0</v>
      </c>
    </row>
    <row r="24" spans="1:19" x14ac:dyDescent="0.25">
      <c r="A24" t="s">
        <v>160</v>
      </c>
      <c r="B24" t="s">
        <v>22</v>
      </c>
      <c r="C24" t="s">
        <v>155</v>
      </c>
      <c r="D24" t="s">
        <v>156</v>
      </c>
      <c r="E24" t="s">
        <v>176</v>
      </c>
      <c r="F24">
        <v>3507051990</v>
      </c>
      <c r="G24" s="3" t="s">
        <v>171</v>
      </c>
      <c r="H24" s="3" t="s">
        <v>157</v>
      </c>
      <c r="I24" t="s">
        <v>30</v>
      </c>
      <c r="J24" t="s">
        <v>166</v>
      </c>
      <c r="K24" s="4">
        <v>1600</v>
      </c>
      <c r="L24" t="s">
        <v>146</v>
      </c>
      <c r="M24" t="s">
        <v>146</v>
      </c>
      <c r="N24">
        <v>24</v>
      </c>
      <c r="O24">
        <v>5</v>
      </c>
      <c r="P24" t="s">
        <v>148</v>
      </c>
      <c r="Q24">
        <v>7</v>
      </c>
      <c r="R24" t="s">
        <v>151</v>
      </c>
      <c r="S24">
        <v>0</v>
      </c>
    </row>
    <row r="25" spans="1:19" x14ac:dyDescent="0.25">
      <c r="A25" t="s">
        <v>160</v>
      </c>
      <c r="B25" t="s">
        <v>22</v>
      </c>
      <c r="C25" t="s">
        <v>155</v>
      </c>
      <c r="D25" t="s">
        <v>156</v>
      </c>
      <c r="E25" t="s">
        <v>176</v>
      </c>
      <c r="F25">
        <v>3507051990</v>
      </c>
      <c r="G25" s="3" t="s">
        <v>171</v>
      </c>
      <c r="H25" s="3" t="s">
        <v>157</v>
      </c>
      <c r="I25" t="s">
        <v>31</v>
      </c>
      <c r="J25" t="s">
        <v>167</v>
      </c>
      <c r="K25" s="4">
        <v>2920</v>
      </c>
      <c r="L25" t="s">
        <v>173</v>
      </c>
      <c r="M25" t="s">
        <v>173</v>
      </c>
      <c r="N25">
        <v>20</v>
      </c>
      <c r="O25">
        <v>5</v>
      </c>
      <c r="P25" t="s">
        <v>148</v>
      </c>
      <c r="Q25">
        <v>30</v>
      </c>
      <c r="R25" t="s">
        <v>151</v>
      </c>
      <c r="S25">
        <v>0</v>
      </c>
    </row>
    <row r="26" spans="1:19" x14ac:dyDescent="0.25">
      <c r="A26" t="s">
        <v>160</v>
      </c>
      <c r="B26" t="s">
        <v>22</v>
      </c>
      <c r="C26" t="s">
        <v>155</v>
      </c>
      <c r="D26" t="s">
        <v>156</v>
      </c>
      <c r="E26" t="s">
        <v>176</v>
      </c>
      <c r="F26">
        <v>3507051990</v>
      </c>
      <c r="G26" s="3" t="s">
        <v>171</v>
      </c>
      <c r="H26" s="3" t="s">
        <v>157</v>
      </c>
      <c r="I26" t="s">
        <v>34</v>
      </c>
      <c r="J26" t="s">
        <v>121</v>
      </c>
      <c r="K26" s="4">
        <v>2450</v>
      </c>
      <c r="L26" t="s">
        <v>146</v>
      </c>
      <c r="M26" t="s">
        <v>146</v>
      </c>
      <c r="N26">
        <v>250</v>
      </c>
      <c r="O26">
        <v>5</v>
      </c>
      <c r="P26" t="s">
        <v>148</v>
      </c>
      <c r="Q26">
        <v>7</v>
      </c>
      <c r="R26" t="s">
        <v>151</v>
      </c>
      <c r="S26">
        <v>0</v>
      </c>
    </row>
    <row r="27" spans="1:19" x14ac:dyDescent="0.25">
      <c r="A27" t="s">
        <v>160</v>
      </c>
      <c r="B27" t="s">
        <v>22</v>
      </c>
      <c r="C27" t="s">
        <v>155</v>
      </c>
      <c r="D27" t="s">
        <v>156</v>
      </c>
      <c r="E27" t="s">
        <v>176</v>
      </c>
      <c r="F27">
        <v>3507051990</v>
      </c>
      <c r="G27" s="3" t="s">
        <v>171</v>
      </c>
      <c r="H27" s="3" t="s">
        <v>157</v>
      </c>
      <c r="I27" t="s">
        <v>36</v>
      </c>
      <c r="J27" t="s">
        <v>124</v>
      </c>
      <c r="K27" s="4">
        <v>4200</v>
      </c>
      <c r="L27" t="s">
        <v>146</v>
      </c>
      <c r="M27" t="s">
        <v>146</v>
      </c>
      <c r="N27">
        <v>30</v>
      </c>
      <c r="O27">
        <v>5</v>
      </c>
      <c r="P27" t="s">
        <v>148</v>
      </c>
      <c r="Q27">
        <v>7</v>
      </c>
      <c r="R27" t="s">
        <v>151</v>
      </c>
      <c r="S27">
        <v>0</v>
      </c>
    </row>
    <row r="28" spans="1:19" x14ac:dyDescent="0.25">
      <c r="A28" t="s">
        <v>160</v>
      </c>
      <c r="B28" t="s">
        <v>22</v>
      </c>
      <c r="C28" t="s">
        <v>155</v>
      </c>
      <c r="D28" t="s">
        <v>156</v>
      </c>
      <c r="E28" t="s">
        <v>176</v>
      </c>
      <c r="F28">
        <v>3507051990</v>
      </c>
      <c r="G28" s="3" t="s">
        <v>171</v>
      </c>
      <c r="H28" s="3" t="s">
        <v>157</v>
      </c>
      <c r="I28" t="s">
        <v>37</v>
      </c>
      <c r="J28" t="s">
        <v>179</v>
      </c>
      <c r="K28" s="4">
        <v>2950</v>
      </c>
      <c r="L28" t="s">
        <v>146</v>
      </c>
      <c r="M28" t="s">
        <v>146</v>
      </c>
      <c r="N28">
        <v>1</v>
      </c>
      <c r="O28">
        <v>5</v>
      </c>
      <c r="P28" t="s">
        <v>148</v>
      </c>
      <c r="Q28">
        <v>7</v>
      </c>
      <c r="R28" t="s">
        <v>151</v>
      </c>
      <c r="S28">
        <v>0</v>
      </c>
    </row>
    <row r="29" spans="1:19" x14ac:dyDescent="0.25">
      <c r="A29" t="s">
        <v>161</v>
      </c>
      <c r="B29" t="s">
        <v>118</v>
      </c>
      <c r="C29" t="s">
        <v>190</v>
      </c>
      <c r="D29" t="s">
        <v>187</v>
      </c>
      <c r="F29">
        <v>3202591565</v>
      </c>
      <c r="G29" s="3" t="s">
        <v>189</v>
      </c>
      <c r="I29" t="s">
        <v>31</v>
      </c>
      <c r="J29" t="s">
        <v>167</v>
      </c>
      <c r="L29" t="s">
        <v>173</v>
      </c>
      <c r="M29" t="s">
        <v>173</v>
      </c>
      <c r="N29">
        <v>20</v>
      </c>
      <c r="O29">
        <v>5</v>
      </c>
      <c r="P29" t="s">
        <v>148</v>
      </c>
      <c r="Q29">
        <v>30</v>
      </c>
      <c r="R29" t="s">
        <v>151</v>
      </c>
      <c r="S29">
        <v>0</v>
      </c>
    </row>
    <row r="30" spans="1:19" x14ac:dyDescent="0.25">
      <c r="A30" t="s">
        <v>161</v>
      </c>
      <c r="B30" t="s">
        <v>118</v>
      </c>
      <c r="C30" t="s">
        <v>190</v>
      </c>
      <c r="D30" t="s">
        <v>187</v>
      </c>
      <c r="F30">
        <v>3202591565</v>
      </c>
      <c r="G30" s="3" t="s">
        <v>189</v>
      </c>
      <c r="I30" t="s">
        <v>37</v>
      </c>
      <c r="J30" t="s">
        <v>179</v>
      </c>
      <c r="L30" t="s">
        <v>146</v>
      </c>
      <c r="M30" t="s">
        <v>146</v>
      </c>
      <c r="N30">
        <v>1</v>
      </c>
      <c r="O30">
        <v>5</v>
      </c>
      <c r="P30" t="s">
        <v>148</v>
      </c>
      <c r="Q30">
        <v>7</v>
      </c>
      <c r="R30" t="s">
        <v>151</v>
      </c>
      <c r="S30">
        <v>0</v>
      </c>
    </row>
    <row r="31" spans="1:19" x14ac:dyDescent="0.25">
      <c r="A31" t="s">
        <v>162</v>
      </c>
      <c r="B31" t="s">
        <v>24</v>
      </c>
      <c r="C31" t="s">
        <v>192</v>
      </c>
      <c r="D31" t="s">
        <v>193</v>
      </c>
      <c r="F31">
        <v>3505916780</v>
      </c>
      <c r="G31" s="3" t="s">
        <v>188</v>
      </c>
      <c r="H31" s="3" t="s">
        <v>191</v>
      </c>
      <c r="I31" t="s">
        <v>27</v>
      </c>
      <c r="J31" t="s">
        <v>120</v>
      </c>
      <c r="K31" s="4">
        <v>4300</v>
      </c>
      <c r="L31" t="s">
        <v>146</v>
      </c>
      <c r="M31" t="s">
        <v>146</v>
      </c>
      <c r="N31">
        <v>25</v>
      </c>
      <c r="O31">
        <v>2</v>
      </c>
      <c r="P31" t="s">
        <v>148</v>
      </c>
      <c r="Q31">
        <v>7</v>
      </c>
      <c r="R31" t="s">
        <v>151</v>
      </c>
      <c r="S31">
        <v>0</v>
      </c>
    </row>
    <row r="32" spans="1:19" x14ac:dyDescent="0.25">
      <c r="A32" t="s">
        <v>162</v>
      </c>
      <c r="B32" t="s">
        <v>24</v>
      </c>
      <c r="C32" t="s">
        <v>192</v>
      </c>
      <c r="D32" t="s">
        <v>193</v>
      </c>
      <c r="F32">
        <v>3505916780</v>
      </c>
      <c r="G32" s="3" t="s">
        <v>188</v>
      </c>
      <c r="H32" s="3" t="s">
        <v>191</v>
      </c>
      <c r="I32" t="s">
        <v>28</v>
      </c>
      <c r="J32" t="s">
        <v>2157</v>
      </c>
      <c r="K32" s="4">
        <v>4375</v>
      </c>
      <c r="L32" t="s">
        <v>146</v>
      </c>
      <c r="M32" t="s">
        <v>146</v>
      </c>
      <c r="N32">
        <v>1000</v>
      </c>
      <c r="O32">
        <v>2</v>
      </c>
      <c r="P32" t="s">
        <v>148</v>
      </c>
      <c r="Q32">
        <v>7</v>
      </c>
      <c r="R32" t="s">
        <v>151</v>
      </c>
      <c r="S32">
        <v>0</v>
      </c>
    </row>
    <row r="33" spans="1:19" x14ac:dyDescent="0.25">
      <c r="A33" t="s">
        <v>162</v>
      </c>
      <c r="B33" t="s">
        <v>24</v>
      </c>
      <c r="C33" t="s">
        <v>192</v>
      </c>
      <c r="D33" t="s">
        <v>193</v>
      </c>
      <c r="F33">
        <v>3505916780</v>
      </c>
      <c r="G33" s="3" t="s">
        <v>188</v>
      </c>
      <c r="H33" s="3" t="s">
        <v>191</v>
      </c>
      <c r="I33" t="s">
        <v>29</v>
      </c>
      <c r="J33" t="s">
        <v>119</v>
      </c>
      <c r="K33" s="4">
        <v>1450</v>
      </c>
      <c r="L33" t="s">
        <v>146</v>
      </c>
      <c r="M33" t="s">
        <v>146</v>
      </c>
      <c r="N33">
        <v>250</v>
      </c>
      <c r="O33">
        <v>2</v>
      </c>
      <c r="P33" t="s">
        <v>148</v>
      </c>
      <c r="Q33">
        <v>7</v>
      </c>
      <c r="R33" t="s">
        <v>151</v>
      </c>
      <c r="S33">
        <v>0</v>
      </c>
    </row>
    <row r="34" spans="1:19" x14ac:dyDescent="0.25">
      <c r="A34" t="s">
        <v>162</v>
      </c>
      <c r="B34" t="s">
        <v>24</v>
      </c>
      <c r="C34" t="s">
        <v>192</v>
      </c>
      <c r="D34" t="s">
        <v>193</v>
      </c>
      <c r="F34">
        <v>3505916780</v>
      </c>
      <c r="G34" s="3" t="s">
        <v>188</v>
      </c>
      <c r="H34" s="3" t="s">
        <v>191</v>
      </c>
      <c r="I34" t="s">
        <v>30</v>
      </c>
      <c r="J34" t="s">
        <v>166</v>
      </c>
      <c r="K34" s="4">
        <v>1507</v>
      </c>
      <c r="L34" t="s">
        <v>146</v>
      </c>
      <c r="M34" t="s">
        <v>146</v>
      </c>
      <c r="N34">
        <v>24</v>
      </c>
      <c r="O34">
        <v>2</v>
      </c>
      <c r="P34" t="s">
        <v>148</v>
      </c>
      <c r="Q34">
        <v>7</v>
      </c>
      <c r="R34" t="s">
        <v>151</v>
      </c>
      <c r="S34">
        <v>0</v>
      </c>
    </row>
    <row r="35" spans="1:19" x14ac:dyDescent="0.25">
      <c r="A35" t="s">
        <v>162</v>
      </c>
      <c r="B35" t="s">
        <v>24</v>
      </c>
      <c r="C35" t="s">
        <v>192</v>
      </c>
      <c r="D35" t="s">
        <v>193</v>
      </c>
      <c r="F35">
        <v>3505916780</v>
      </c>
      <c r="G35" s="3" t="s">
        <v>188</v>
      </c>
      <c r="H35" s="3" t="s">
        <v>191</v>
      </c>
      <c r="I35" t="s">
        <v>31</v>
      </c>
      <c r="J35" t="s">
        <v>167</v>
      </c>
      <c r="K35" s="4">
        <v>2100</v>
      </c>
      <c r="L35" t="s">
        <v>173</v>
      </c>
      <c r="M35" t="s">
        <v>173</v>
      </c>
      <c r="N35">
        <v>20</v>
      </c>
      <c r="O35">
        <v>2</v>
      </c>
      <c r="P35" t="s">
        <v>148</v>
      </c>
      <c r="Q35">
        <v>7</v>
      </c>
      <c r="R35" t="s">
        <v>151</v>
      </c>
      <c r="S35">
        <v>0</v>
      </c>
    </row>
    <row r="36" spans="1:19" x14ac:dyDescent="0.25">
      <c r="A36" t="s">
        <v>162</v>
      </c>
      <c r="B36" t="s">
        <v>24</v>
      </c>
      <c r="C36" t="s">
        <v>192</v>
      </c>
      <c r="D36" t="s">
        <v>193</v>
      </c>
      <c r="F36">
        <v>3505916780</v>
      </c>
      <c r="G36" s="3" t="s">
        <v>188</v>
      </c>
      <c r="H36" s="3" t="s">
        <v>191</v>
      </c>
      <c r="I36" t="s">
        <v>37</v>
      </c>
      <c r="J36" t="s">
        <v>179</v>
      </c>
      <c r="K36" s="4">
        <v>10084</v>
      </c>
      <c r="L36" t="s">
        <v>146</v>
      </c>
      <c r="M36" t="s">
        <v>146</v>
      </c>
      <c r="N36">
        <v>1</v>
      </c>
      <c r="O36">
        <v>2</v>
      </c>
      <c r="P36" t="s">
        <v>148</v>
      </c>
      <c r="Q36">
        <v>7</v>
      </c>
      <c r="R36" t="s">
        <v>151</v>
      </c>
      <c r="S36">
        <v>0</v>
      </c>
    </row>
    <row r="37" spans="1:19" x14ac:dyDescent="0.25">
      <c r="A37" t="s">
        <v>162</v>
      </c>
      <c r="B37" t="s">
        <v>24</v>
      </c>
      <c r="C37" t="s">
        <v>192</v>
      </c>
      <c r="D37" t="s">
        <v>193</v>
      </c>
      <c r="F37">
        <v>3505916780</v>
      </c>
      <c r="G37" s="3" t="s">
        <v>188</v>
      </c>
      <c r="H37" s="3" t="s">
        <v>191</v>
      </c>
      <c r="J37" t="s">
        <v>2158</v>
      </c>
      <c r="K37" s="4">
        <v>2747</v>
      </c>
      <c r="L37" t="s">
        <v>146</v>
      </c>
      <c r="M37" t="s">
        <v>146</v>
      </c>
      <c r="N37">
        <v>25</v>
      </c>
      <c r="O37">
        <v>2</v>
      </c>
      <c r="P37" t="s">
        <v>148</v>
      </c>
      <c r="Q37">
        <v>7</v>
      </c>
      <c r="R37" t="s">
        <v>151</v>
      </c>
      <c r="S37">
        <v>0</v>
      </c>
    </row>
    <row r="38" spans="1:19" x14ac:dyDescent="0.25">
      <c r="A38" t="s">
        <v>163</v>
      </c>
      <c r="B38" t="s">
        <v>40</v>
      </c>
      <c r="C38" t="s">
        <v>195</v>
      </c>
      <c r="D38" t="s">
        <v>194</v>
      </c>
      <c r="E38">
        <v>6012178519</v>
      </c>
      <c r="H38" s="3" t="s">
        <v>196</v>
      </c>
      <c r="I38" t="s">
        <v>31</v>
      </c>
      <c r="J38" t="s">
        <v>167</v>
      </c>
      <c r="K38" s="4">
        <f>63000/20</f>
        <v>3150</v>
      </c>
      <c r="L38" t="s">
        <v>173</v>
      </c>
      <c r="M38" t="s">
        <v>173</v>
      </c>
      <c r="N38">
        <v>20</v>
      </c>
      <c r="O38">
        <v>5</v>
      </c>
      <c r="P38" t="s">
        <v>148</v>
      </c>
      <c r="Q38">
        <v>30</v>
      </c>
      <c r="R38" t="s">
        <v>151</v>
      </c>
      <c r="S38">
        <v>0</v>
      </c>
    </row>
    <row r="39" spans="1:19" x14ac:dyDescent="0.25">
      <c r="A39" t="s">
        <v>164</v>
      </c>
      <c r="B39" t="s">
        <v>41</v>
      </c>
      <c r="C39" t="s">
        <v>197</v>
      </c>
      <c r="D39" t="s">
        <v>198</v>
      </c>
      <c r="E39">
        <v>6017437434</v>
      </c>
      <c r="F39">
        <v>3125920108</v>
      </c>
      <c r="H39" s="3" t="s">
        <v>207</v>
      </c>
      <c r="I39" t="s">
        <v>32</v>
      </c>
      <c r="J39" t="s">
        <v>168</v>
      </c>
      <c r="K39" s="4">
        <f>330000/20</f>
        <v>16500</v>
      </c>
      <c r="L39" t="s">
        <v>173</v>
      </c>
      <c r="M39" t="s">
        <v>173</v>
      </c>
      <c r="N39">
        <v>20</v>
      </c>
      <c r="O39">
        <v>5</v>
      </c>
      <c r="P39" t="s">
        <v>148</v>
      </c>
      <c r="Q39">
        <v>7</v>
      </c>
      <c r="R39" t="s">
        <v>151</v>
      </c>
      <c r="S39">
        <v>0</v>
      </c>
    </row>
    <row r="40" spans="1:19" x14ac:dyDescent="0.25">
      <c r="A40" t="s">
        <v>165</v>
      </c>
      <c r="B40" t="s">
        <v>25</v>
      </c>
      <c r="C40" t="s">
        <v>199</v>
      </c>
      <c r="D40" t="s">
        <v>199</v>
      </c>
      <c r="E40">
        <v>6015438885</v>
      </c>
      <c r="H40" s="3" t="s">
        <v>200</v>
      </c>
      <c r="I40" t="s">
        <v>35</v>
      </c>
      <c r="J40" t="s">
        <v>122</v>
      </c>
      <c r="K40" s="4">
        <v>23000</v>
      </c>
      <c r="L40" t="s">
        <v>146</v>
      </c>
      <c r="M40" t="s">
        <v>146</v>
      </c>
      <c r="N40">
        <v>1</v>
      </c>
      <c r="Q40">
        <v>7</v>
      </c>
      <c r="R40" t="s">
        <v>151</v>
      </c>
      <c r="S40">
        <v>0</v>
      </c>
    </row>
    <row r="41" spans="1:19" x14ac:dyDescent="0.25">
      <c r="A41" t="s">
        <v>201</v>
      </c>
      <c r="B41" t="s">
        <v>206</v>
      </c>
      <c r="C41" t="s">
        <v>203</v>
      </c>
      <c r="D41" t="s">
        <v>202</v>
      </c>
      <c r="E41">
        <v>6015189995</v>
      </c>
      <c r="F41">
        <v>3174382395</v>
      </c>
      <c r="G41" s="3" t="s">
        <v>205</v>
      </c>
      <c r="H41" s="3" t="s">
        <v>204</v>
      </c>
      <c r="I41" t="s">
        <v>38</v>
      </c>
      <c r="J41" t="s">
        <v>57</v>
      </c>
      <c r="K41" s="4">
        <f>299000</f>
        <v>299000</v>
      </c>
      <c r="L41" t="s">
        <v>1105</v>
      </c>
      <c r="M41" t="s">
        <v>1105</v>
      </c>
      <c r="N41">
        <v>1</v>
      </c>
      <c r="O41">
        <v>20</v>
      </c>
      <c r="P41" t="s">
        <v>2159</v>
      </c>
      <c r="Q41">
        <v>30</v>
      </c>
      <c r="R41" t="s">
        <v>151</v>
      </c>
      <c r="S41">
        <v>0</v>
      </c>
    </row>
    <row r="42" spans="1:19" x14ac:dyDescent="0.25">
      <c r="A42" t="s">
        <v>201</v>
      </c>
      <c r="B42" t="s">
        <v>206</v>
      </c>
      <c r="C42" t="s">
        <v>203</v>
      </c>
      <c r="D42" t="s">
        <v>202</v>
      </c>
      <c r="E42">
        <v>6015189995</v>
      </c>
      <c r="F42">
        <v>3174382395</v>
      </c>
      <c r="G42" s="3" t="s">
        <v>205</v>
      </c>
      <c r="H42" s="3" t="s">
        <v>204</v>
      </c>
      <c r="I42" t="s">
        <v>39</v>
      </c>
      <c r="J42" t="s">
        <v>56</v>
      </c>
      <c r="K42" s="4">
        <f>299000</f>
        <v>299000</v>
      </c>
      <c r="L42" t="s">
        <v>1105</v>
      </c>
      <c r="M42" t="s">
        <v>1105</v>
      </c>
      <c r="N42">
        <v>1</v>
      </c>
      <c r="O42">
        <v>20</v>
      </c>
      <c r="P42" t="s">
        <v>2159</v>
      </c>
      <c r="Q42">
        <v>30</v>
      </c>
      <c r="R42" t="s">
        <v>151</v>
      </c>
      <c r="S42">
        <v>0</v>
      </c>
    </row>
    <row r="43" spans="1:19" x14ac:dyDescent="0.25">
      <c r="A43" t="s">
        <v>201</v>
      </c>
      <c r="B43" t="s">
        <v>206</v>
      </c>
      <c r="C43" t="s">
        <v>203</v>
      </c>
      <c r="D43" t="s">
        <v>202</v>
      </c>
      <c r="E43">
        <v>6015189995</v>
      </c>
      <c r="F43">
        <v>3174382395</v>
      </c>
      <c r="G43" s="3" t="s">
        <v>205</v>
      </c>
      <c r="H43" s="3" t="s">
        <v>204</v>
      </c>
      <c r="I43" t="s">
        <v>92</v>
      </c>
      <c r="J43" t="s">
        <v>55</v>
      </c>
      <c r="K43" s="4">
        <f>299000</f>
        <v>299000</v>
      </c>
      <c r="L43" t="s">
        <v>1105</v>
      </c>
      <c r="M43" t="s">
        <v>1105</v>
      </c>
      <c r="N43">
        <v>1</v>
      </c>
      <c r="O43">
        <v>20</v>
      </c>
      <c r="P43" t="s">
        <v>2159</v>
      </c>
      <c r="Q43">
        <v>30</v>
      </c>
      <c r="R43" t="s">
        <v>151</v>
      </c>
      <c r="S43">
        <v>0</v>
      </c>
    </row>
    <row r="44" spans="1:19" x14ac:dyDescent="0.25">
      <c r="A44" t="s">
        <v>201</v>
      </c>
      <c r="B44" t="s">
        <v>206</v>
      </c>
      <c r="C44" t="s">
        <v>203</v>
      </c>
      <c r="D44" t="s">
        <v>202</v>
      </c>
      <c r="E44">
        <v>6015189995</v>
      </c>
      <c r="F44">
        <v>3174382395</v>
      </c>
      <c r="G44" s="3" t="s">
        <v>205</v>
      </c>
      <c r="H44" s="3" t="s">
        <v>204</v>
      </c>
      <c r="I44" t="s">
        <v>93</v>
      </c>
      <c r="J44" t="s">
        <v>54</v>
      </c>
      <c r="K44" s="4">
        <v>275990</v>
      </c>
      <c r="L44" t="s">
        <v>2156</v>
      </c>
      <c r="M44" t="s">
        <v>2156</v>
      </c>
      <c r="N44">
        <v>1</v>
      </c>
      <c r="O44">
        <v>20</v>
      </c>
      <c r="P44" t="s">
        <v>2159</v>
      </c>
      <c r="Q44">
        <v>30</v>
      </c>
      <c r="R44" t="s">
        <v>151</v>
      </c>
      <c r="S44">
        <v>0</v>
      </c>
    </row>
    <row r="45" spans="1:19" x14ac:dyDescent="0.25">
      <c r="A45" t="s">
        <v>201</v>
      </c>
      <c r="B45" t="s">
        <v>206</v>
      </c>
      <c r="C45" t="s">
        <v>203</v>
      </c>
      <c r="D45" t="s">
        <v>202</v>
      </c>
      <c r="E45">
        <v>6015189995</v>
      </c>
      <c r="F45">
        <v>3174382395</v>
      </c>
      <c r="G45" s="3" t="s">
        <v>205</v>
      </c>
      <c r="H45" s="3" t="s">
        <v>204</v>
      </c>
      <c r="I45" t="s">
        <v>94</v>
      </c>
      <c r="J45" t="s">
        <v>58</v>
      </c>
      <c r="K45" s="4">
        <v>247990</v>
      </c>
      <c r="L45" t="s">
        <v>1105</v>
      </c>
      <c r="M45" t="s">
        <v>1105</v>
      </c>
      <c r="N45">
        <v>1</v>
      </c>
      <c r="O45">
        <v>20</v>
      </c>
      <c r="P45" t="s">
        <v>2159</v>
      </c>
      <c r="Q45">
        <v>30</v>
      </c>
      <c r="R45" t="s">
        <v>151</v>
      </c>
      <c r="S45">
        <v>0</v>
      </c>
    </row>
    <row r="46" spans="1:19" x14ac:dyDescent="0.25">
      <c r="A46" t="s">
        <v>201</v>
      </c>
      <c r="B46" t="s">
        <v>206</v>
      </c>
      <c r="C46" t="s">
        <v>203</v>
      </c>
      <c r="D46" t="s">
        <v>202</v>
      </c>
      <c r="E46">
        <v>6015189995</v>
      </c>
      <c r="F46">
        <v>3174382395</v>
      </c>
      <c r="G46" s="3" t="s">
        <v>205</v>
      </c>
      <c r="H46" s="3" t="s">
        <v>204</v>
      </c>
      <c r="I46" t="s">
        <v>95</v>
      </c>
      <c r="J46" t="s">
        <v>59</v>
      </c>
      <c r="K46" s="4">
        <v>146990</v>
      </c>
      <c r="L46" t="s">
        <v>1105</v>
      </c>
      <c r="M46" t="s">
        <v>1105</v>
      </c>
      <c r="N46">
        <v>1</v>
      </c>
      <c r="O46">
        <v>20</v>
      </c>
      <c r="P46" t="s">
        <v>2159</v>
      </c>
      <c r="Q46">
        <v>30</v>
      </c>
      <c r="R46" t="s">
        <v>151</v>
      </c>
      <c r="S46">
        <v>0</v>
      </c>
    </row>
    <row r="47" spans="1:19" x14ac:dyDescent="0.25">
      <c r="A47" t="s">
        <v>201</v>
      </c>
      <c r="B47" t="s">
        <v>206</v>
      </c>
      <c r="C47" t="s">
        <v>203</v>
      </c>
      <c r="D47" t="s">
        <v>202</v>
      </c>
      <c r="E47">
        <v>6015189995</v>
      </c>
      <c r="F47">
        <v>3174382395</v>
      </c>
      <c r="G47" s="3" t="s">
        <v>205</v>
      </c>
      <c r="H47" s="3" t="s">
        <v>204</v>
      </c>
      <c r="I47" t="s">
        <v>96</v>
      </c>
      <c r="J47" t="s">
        <v>60</v>
      </c>
      <c r="K47" s="4">
        <v>160990</v>
      </c>
      <c r="L47" t="s">
        <v>1105</v>
      </c>
      <c r="M47" t="s">
        <v>1105</v>
      </c>
      <c r="N47">
        <v>1</v>
      </c>
      <c r="O47">
        <v>20</v>
      </c>
      <c r="P47" t="s">
        <v>2159</v>
      </c>
      <c r="Q47">
        <v>30</v>
      </c>
      <c r="R47" t="s">
        <v>151</v>
      </c>
      <c r="S47">
        <v>0</v>
      </c>
    </row>
    <row r="48" spans="1:19" x14ac:dyDescent="0.25">
      <c r="A48" t="s">
        <v>201</v>
      </c>
      <c r="B48" t="s">
        <v>206</v>
      </c>
      <c r="C48" t="s">
        <v>203</v>
      </c>
      <c r="D48" t="s">
        <v>202</v>
      </c>
      <c r="E48">
        <v>6015189995</v>
      </c>
      <c r="F48">
        <v>3174382395</v>
      </c>
      <c r="G48" s="3" t="s">
        <v>205</v>
      </c>
      <c r="H48" s="3" t="s">
        <v>204</v>
      </c>
      <c r="I48" t="s">
        <v>97</v>
      </c>
      <c r="J48" t="s">
        <v>61</v>
      </c>
      <c r="K48" s="4">
        <v>178990</v>
      </c>
      <c r="L48" t="s">
        <v>1105</v>
      </c>
      <c r="M48" t="s">
        <v>1105</v>
      </c>
      <c r="N48">
        <v>1</v>
      </c>
      <c r="O48">
        <v>20</v>
      </c>
      <c r="P48" t="s">
        <v>2159</v>
      </c>
      <c r="Q48">
        <v>30</v>
      </c>
      <c r="R48" t="s">
        <v>151</v>
      </c>
      <c r="S48">
        <v>0</v>
      </c>
    </row>
    <row r="49" spans="1:19" x14ac:dyDescent="0.25">
      <c r="A49" t="s">
        <v>201</v>
      </c>
      <c r="B49" t="s">
        <v>206</v>
      </c>
      <c r="C49" t="s">
        <v>203</v>
      </c>
      <c r="D49" t="s">
        <v>202</v>
      </c>
      <c r="E49">
        <v>6015189995</v>
      </c>
      <c r="F49">
        <v>3174382395</v>
      </c>
      <c r="G49" s="3" t="s">
        <v>205</v>
      </c>
      <c r="H49" s="3" t="s">
        <v>204</v>
      </c>
      <c r="I49" t="s">
        <v>98</v>
      </c>
      <c r="J49" t="s">
        <v>62</v>
      </c>
      <c r="K49" s="4">
        <v>281990</v>
      </c>
      <c r="L49" t="s">
        <v>1105</v>
      </c>
      <c r="M49" t="s">
        <v>1105</v>
      </c>
      <c r="N49">
        <v>1</v>
      </c>
      <c r="O49">
        <v>20</v>
      </c>
      <c r="P49" t="s">
        <v>2159</v>
      </c>
      <c r="Q49">
        <v>30</v>
      </c>
      <c r="R49" t="s">
        <v>151</v>
      </c>
      <c r="S49">
        <v>0</v>
      </c>
    </row>
    <row r="50" spans="1:19" x14ac:dyDescent="0.25">
      <c r="A50" t="s">
        <v>201</v>
      </c>
      <c r="B50" t="s">
        <v>206</v>
      </c>
      <c r="C50" t="s">
        <v>203</v>
      </c>
      <c r="D50" t="s">
        <v>202</v>
      </c>
      <c r="E50">
        <v>6015189995</v>
      </c>
      <c r="F50">
        <v>3174382395</v>
      </c>
      <c r="G50" s="3" t="s">
        <v>205</v>
      </c>
      <c r="H50" s="3" t="s">
        <v>204</v>
      </c>
      <c r="I50" t="s">
        <v>99</v>
      </c>
      <c r="J50" t="s">
        <v>63</v>
      </c>
      <c r="K50" s="4">
        <v>132990</v>
      </c>
      <c r="L50" t="s">
        <v>1105</v>
      </c>
      <c r="M50" t="s">
        <v>1105</v>
      </c>
      <c r="N50">
        <v>1</v>
      </c>
      <c r="O50">
        <v>20</v>
      </c>
      <c r="P50" t="s">
        <v>2159</v>
      </c>
      <c r="Q50">
        <v>30</v>
      </c>
      <c r="R50" t="s">
        <v>151</v>
      </c>
      <c r="S50">
        <v>0</v>
      </c>
    </row>
    <row r="51" spans="1:19" x14ac:dyDescent="0.25">
      <c r="A51" t="s">
        <v>201</v>
      </c>
      <c r="B51" t="s">
        <v>206</v>
      </c>
      <c r="C51" t="s">
        <v>203</v>
      </c>
      <c r="D51" t="s">
        <v>202</v>
      </c>
      <c r="E51">
        <v>6015189995</v>
      </c>
      <c r="F51">
        <v>3174382395</v>
      </c>
      <c r="G51" s="3" t="s">
        <v>205</v>
      </c>
      <c r="H51" s="3" t="s">
        <v>204</v>
      </c>
      <c r="I51" t="s">
        <v>100</v>
      </c>
      <c r="J51" t="s">
        <v>64</v>
      </c>
      <c r="K51" s="4">
        <v>1178990</v>
      </c>
      <c r="L51" t="s">
        <v>1105</v>
      </c>
      <c r="M51" t="s">
        <v>1105</v>
      </c>
      <c r="N51">
        <v>1</v>
      </c>
      <c r="O51">
        <v>20</v>
      </c>
      <c r="P51" t="s">
        <v>2159</v>
      </c>
      <c r="Q51">
        <v>30</v>
      </c>
      <c r="R51" t="s">
        <v>151</v>
      </c>
      <c r="S51">
        <v>0</v>
      </c>
    </row>
    <row r="52" spans="1:19" x14ac:dyDescent="0.25">
      <c r="A52" t="s">
        <v>201</v>
      </c>
      <c r="B52" t="s">
        <v>206</v>
      </c>
      <c r="C52" t="s">
        <v>203</v>
      </c>
      <c r="D52" t="s">
        <v>202</v>
      </c>
      <c r="E52">
        <v>6015189995</v>
      </c>
      <c r="F52">
        <v>3174382395</v>
      </c>
      <c r="G52" s="3" t="s">
        <v>205</v>
      </c>
      <c r="H52" s="3" t="s">
        <v>204</v>
      </c>
      <c r="I52" t="s">
        <v>101</v>
      </c>
      <c r="J52" t="s">
        <v>65</v>
      </c>
      <c r="K52" s="4">
        <v>804990</v>
      </c>
      <c r="L52" t="s">
        <v>2156</v>
      </c>
      <c r="M52" t="s">
        <v>2156</v>
      </c>
      <c r="N52">
        <v>1</v>
      </c>
      <c r="O52">
        <v>20</v>
      </c>
      <c r="P52" t="s">
        <v>2159</v>
      </c>
      <c r="Q52">
        <v>30</v>
      </c>
      <c r="R52" t="s">
        <v>151</v>
      </c>
      <c r="S52">
        <v>0</v>
      </c>
    </row>
    <row r="53" spans="1:19" x14ac:dyDescent="0.25">
      <c r="A53" t="s">
        <v>201</v>
      </c>
      <c r="B53" t="s">
        <v>206</v>
      </c>
      <c r="C53" t="s">
        <v>203</v>
      </c>
      <c r="D53" t="s">
        <v>202</v>
      </c>
      <c r="E53">
        <v>6015189995</v>
      </c>
      <c r="F53">
        <v>3174382395</v>
      </c>
      <c r="G53" s="3" t="s">
        <v>205</v>
      </c>
      <c r="H53" s="3" t="s">
        <v>204</v>
      </c>
      <c r="I53" t="s">
        <v>102</v>
      </c>
      <c r="J53" t="s">
        <v>66</v>
      </c>
      <c r="K53" s="4">
        <v>350990</v>
      </c>
      <c r="L53" t="s">
        <v>1105</v>
      </c>
      <c r="M53" t="s">
        <v>1105</v>
      </c>
      <c r="N53">
        <v>1</v>
      </c>
      <c r="O53">
        <v>20</v>
      </c>
      <c r="P53" t="s">
        <v>2159</v>
      </c>
      <c r="Q53">
        <v>30</v>
      </c>
      <c r="R53" t="s">
        <v>151</v>
      </c>
      <c r="S53">
        <v>0</v>
      </c>
    </row>
    <row r="54" spans="1:19" x14ac:dyDescent="0.25">
      <c r="A54" t="s">
        <v>201</v>
      </c>
      <c r="B54" t="s">
        <v>206</v>
      </c>
      <c r="C54" t="s">
        <v>203</v>
      </c>
      <c r="D54" t="s">
        <v>202</v>
      </c>
      <c r="E54">
        <v>6015189995</v>
      </c>
      <c r="F54">
        <v>3174382395</v>
      </c>
      <c r="G54" s="3" t="s">
        <v>205</v>
      </c>
      <c r="H54" s="3" t="s">
        <v>204</v>
      </c>
      <c r="I54" t="s">
        <v>103</v>
      </c>
      <c r="J54" t="s">
        <v>67</v>
      </c>
      <c r="K54" s="4">
        <v>195990</v>
      </c>
      <c r="L54" t="s">
        <v>1105</v>
      </c>
      <c r="M54" t="s">
        <v>1105</v>
      </c>
      <c r="N54">
        <v>1</v>
      </c>
      <c r="O54">
        <v>20</v>
      </c>
      <c r="P54" t="s">
        <v>2159</v>
      </c>
      <c r="Q54">
        <v>30</v>
      </c>
      <c r="R54" t="s">
        <v>151</v>
      </c>
      <c r="S54">
        <v>0</v>
      </c>
    </row>
    <row r="55" spans="1:19" x14ac:dyDescent="0.25">
      <c r="A55" t="s">
        <v>201</v>
      </c>
      <c r="B55" t="s">
        <v>206</v>
      </c>
      <c r="C55" t="s">
        <v>203</v>
      </c>
      <c r="D55" t="s">
        <v>202</v>
      </c>
      <c r="E55">
        <v>6015189995</v>
      </c>
      <c r="F55">
        <v>3174382395</v>
      </c>
      <c r="G55" s="3" t="s">
        <v>205</v>
      </c>
      <c r="H55" s="3" t="s">
        <v>204</v>
      </c>
      <c r="I55" t="s">
        <v>104</v>
      </c>
      <c r="J55" t="s">
        <v>68</v>
      </c>
      <c r="K55" s="4">
        <v>1080990</v>
      </c>
      <c r="L55" t="s">
        <v>1105</v>
      </c>
      <c r="M55" t="s">
        <v>1105</v>
      </c>
      <c r="N55">
        <v>1</v>
      </c>
      <c r="O55">
        <v>20</v>
      </c>
      <c r="P55" t="s">
        <v>2159</v>
      </c>
      <c r="Q55">
        <v>30</v>
      </c>
      <c r="R55" t="s">
        <v>151</v>
      </c>
      <c r="S55">
        <v>0</v>
      </c>
    </row>
    <row r="56" spans="1:19" x14ac:dyDescent="0.25">
      <c r="A56" t="s">
        <v>201</v>
      </c>
      <c r="B56" t="s">
        <v>206</v>
      </c>
      <c r="C56" t="s">
        <v>203</v>
      </c>
      <c r="D56" t="s">
        <v>202</v>
      </c>
      <c r="E56">
        <v>6015189995</v>
      </c>
      <c r="F56">
        <v>3174382395</v>
      </c>
      <c r="G56" s="3" t="s">
        <v>205</v>
      </c>
      <c r="H56" s="3" t="s">
        <v>204</v>
      </c>
      <c r="I56" t="s">
        <v>105</v>
      </c>
      <c r="J56" t="s">
        <v>69</v>
      </c>
      <c r="K56" s="4">
        <v>99990</v>
      </c>
      <c r="L56" t="s">
        <v>1105</v>
      </c>
      <c r="M56" t="s">
        <v>1105</v>
      </c>
      <c r="N56">
        <v>1</v>
      </c>
      <c r="O56">
        <v>20</v>
      </c>
      <c r="P56" t="s">
        <v>2159</v>
      </c>
      <c r="Q56">
        <v>30</v>
      </c>
      <c r="R56" t="s">
        <v>151</v>
      </c>
      <c r="S56">
        <v>0</v>
      </c>
    </row>
    <row r="57" spans="1:19" x14ac:dyDescent="0.25">
      <c r="A57" t="s">
        <v>201</v>
      </c>
      <c r="B57" t="s">
        <v>206</v>
      </c>
      <c r="C57" t="s">
        <v>203</v>
      </c>
      <c r="D57" t="s">
        <v>202</v>
      </c>
      <c r="E57">
        <v>6015189995</v>
      </c>
      <c r="F57">
        <v>3174382395</v>
      </c>
      <c r="G57" s="3" t="s">
        <v>205</v>
      </c>
      <c r="H57" s="3" t="s">
        <v>204</v>
      </c>
      <c r="I57" t="s">
        <v>106</v>
      </c>
      <c r="J57" t="s">
        <v>70</v>
      </c>
      <c r="K57" s="4">
        <v>99990</v>
      </c>
      <c r="L57" t="s">
        <v>1105</v>
      </c>
      <c r="M57" t="s">
        <v>1105</v>
      </c>
      <c r="N57">
        <v>1</v>
      </c>
      <c r="O57">
        <v>20</v>
      </c>
      <c r="P57" t="s">
        <v>2159</v>
      </c>
      <c r="Q57">
        <v>30</v>
      </c>
      <c r="R57" t="s">
        <v>151</v>
      </c>
      <c r="S57">
        <v>0</v>
      </c>
    </row>
    <row r="58" spans="1:19" x14ac:dyDescent="0.25">
      <c r="A58" t="s">
        <v>201</v>
      </c>
      <c r="B58" t="s">
        <v>206</v>
      </c>
      <c r="C58" t="s">
        <v>203</v>
      </c>
      <c r="D58" t="s">
        <v>202</v>
      </c>
      <c r="E58">
        <v>6015189995</v>
      </c>
      <c r="F58">
        <v>3174382395</v>
      </c>
      <c r="G58" s="3" t="s">
        <v>205</v>
      </c>
      <c r="H58" s="3" t="s">
        <v>204</v>
      </c>
      <c r="I58" t="s">
        <v>107</v>
      </c>
      <c r="J58" t="s">
        <v>71</v>
      </c>
      <c r="K58" s="4">
        <v>99990</v>
      </c>
      <c r="L58" t="s">
        <v>1105</v>
      </c>
      <c r="M58" t="s">
        <v>1105</v>
      </c>
      <c r="N58">
        <v>1</v>
      </c>
      <c r="O58">
        <v>20</v>
      </c>
      <c r="P58" t="s">
        <v>2159</v>
      </c>
      <c r="Q58">
        <v>30</v>
      </c>
      <c r="R58" t="s">
        <v>151</v>
      </c>
      <c r="S58">
        <v>0</v>
      </c>
    </row>
    <row r="59" spans="1:19" x14ac:dyDescent="0.25">
      <c r="A59" t="s">
        <v>201</v>
      </c>
      <c r="B59" t="s">
        <v>206</v>
      </c>
      <c r="C59" t="s">
        <v>203</v>
      </c>
      <c r="D59" t="s">
        <v>202</v>
      </c>
      <c r="E59">
        <v>6015189995</v>
      </c>
      <c r="F59">
        <v>3174382395</v>
      </c>
      <c r="G59" s="3" t="s">
        <v>205</v>
      </c>
      <c r="H59" s="3" t="s">
        <v>204</v>
      </c>
      <c r="I59" t="s">
        <v>108</v>
      </c>
      <c r="J59" t="s">
        <v>72</v>
      </c>
      <c r="K59" s="4">
        <v>133990</v>
      </c>
      <c r="L59" t="s">
        <v>1105</v>
      </c>
      <c r="M59" t="s">
        <v>1105</v>
      </c>
      <c r="N59">
        <v>1</v>
      </c>
      <c r="O59">
        <v>20</v>
      </c>
      <c r="P59" t="s">
        <v>2159</v>
      </c>
      <c r="Q59">
        <v>30</v>
      </c>
      <c r="R59" t="s">
        <v>151</v>
      </c>
      <c r="S59">
        <v>0</v>
      </c>
    </row>
    <row r="60" spans="1:19" x14ac:dyDescent="0.25">
      <c r="A60" t="s">
        <v>201</v>
      </c>
      <c r="B60" t="s">
        <v>206</v>
      </c>
      <c r="C60" t="s">
        <v>203</v>
      </c>
      <c r="D60" t="s">
        <v>202</v>
      </c>
      <c r="E60">
        <v>6015189995</v>
      </c>
      <c r="F60">
        <v>3174382395</v>
      </c>
      <c r="G60" s="3" t="s">
        <v>205</v>
      </c>
      <c r="H60" s="3" t="s">
        <v>204</v>
      </c>
      <c r="I60" t="s">
        <v>109</v>
      </c>
      <c r="J60" t="s">
        <v>73</v>
      </c>
      <c r="K60" s="4">
        <v>139990</v>
      </c>
      <c r="L60" t="s">
        <v>1105</v>
      </c>
      <c r="M60" t="s">
        <v>1105</v>
      </c>
      <c r="N60">
        <v>1</v>
      </c>
      <c r="O60">
        <v>20</v>
      </c>
      <c r="P60" t="s">
        <v>2159</v>
      </c>
      <c r="Q60">
        <v>30</v>
      </c>
      <c r="R60" t="s">
        <v>151</v>
      </c>
      <c r="S60">
        <v>0</v>
      </c>
    </row>
    <row r="61" spans="1:19" x14ac:dyDescent="0.25">
      <c r="A61" t="s">
        <v>2198</v>
      </c>
      <c r="B61" t="s">
        <v>2199</v>
      </c>
      <c r="C61" t="s">
        <v>2403</v>
      </c>
      <c r="D61" t="s">
        <v>2201</v>
      </c>
      <c r="E61">
        <v>6013099333</v>
      </c>
      <c r="F61" t="s">
        <v>2200</v>
      </c>
      <c r="G61" s="3" t="s">
        <v>2203</v>
      </c>
      <c r="H61" s="3" t="s">
        <v>2202</v>
      </c>
      <c r="I61" t="s">
        <v>127</v>
      </c>
      <c r="J61" t="s">
        <v>181</v>
      </c>
    </row>
    <row r="62" spans="1:19" x14ac:dyDescent="0.25">
      <c r="A62" t="s">
        <v>2198</v>
      </c>
      <c r="B62" t="s">
        <v>2199</v>
      </c>
      <c r="C62" t="s">
        <v>2403</v>
      </c>
      <c r="D62" t="s">
        <v>2201</v>
      </c>
      <c r="E62">
        <v>6013099334</v>
      </c>
      <c r="F62" t="s">
        <v>2404</v>
      </c>
      <c r="G62" s="3" t="s">
        <v>2203</v>
      </c>
      <c r="H62" s="3" t="s">
        <v>2202</v>
      </c>
      <c r="I62" t="s">
        <v>128</v>
      </c>
      <c r="J62" t="s">
        <v>2405</v>
      </c>
      <c r="K62" s="4">
        <v>150000</v>
      </c>
      <c r="L62" t="s">
        <v>174</v>
      </c>
    </row>
    <row r="63" spans="1:19" x14ac:dyDescent="0.25">
      <c r="A63" t="s">
        <v>2210</v>
      </c>
      <c r="B63" t="s">
        <v>44</v>
      </c>
      <c r="C63" t="s">
        <v>2211</v>
      </c>
      <c r="D63" t="s">
        <v>2212</v>
      </c>
      <c r="E63">
        <v>6017518893</v>
      </c>
      <c r="F63">
        <v>3108128752</v>
      </c>
      <c r="G63" s="3" t="s">
        <v>2213</v>
      </c>
      <c r="H63" s="3" t="s">
        <v>2214</v>
      </c>
      <c r="I63" t="s">
        <v>110</v>
      </c>
      <c r="J63" t="s">
        <v>45</v>
      </c>
      <c r="K63" s="4">
        <v>390</v>
      </c>
      <c r="L63" t="s">
        <v>146</v>
      </c>
      <c r="M63" t="s">
        <v>146</v>
      </c>
      <c r="N63">
        <v>25</v>
      </c>
      <c r="O63">
        <v>10</v>
      </c>
      <c r="P63" t="s">
        <v>2159</v>
      </c>
      <c r="Q63">
        <v>180</v>
      </c>
      <c r="R63" t="s">
        <v>151</v>
      </c>
      <c r="S63">
        <v>0</v>
      </c>
    </row>
    <row r="64" spans="1:19" x14ac:dyDescent="0.25">
      <c r="A64" t="s">
        <v>2210</v>
      </c>
      <c r="B64" t="s">
        <v>44</v>
      </c>
      <c r="C64" t="s">
        <v>2211</v>
      </c>
      <c r="D64" t="s">
        <v>2212</v>
      </c>
      <c r="E64">
        <v>6017518893</v>
      </c>
      <c r="F64">
        <v>3108128752</v>
      </c>
      <c r="G64" s="3" t="s">
        <v>2213</v>
      </c>
      <c r="H64" s="3" t="s">
        <v>2214</v>
      </c>
      <c r="I64" t="s">
        <v>111</v>
      </c>
      <c r="J64" t="s">
        <v>46</v>
      </c>
      <c r="K64" s="4">
        <v>390</v>
      </c>
      <c r="L64" t="s">
        <v>146</v>
      </c>
      <c r="M64" t="s">
        <v>146</v>
      </c>
      <c r="N64">
        <v>25</v>
      </c>
      <c r="O64">
        <v>10</v>
      </c>
      <c r="P64" t="s">
        <v>2159</v>
      </c>
      <c r="Q64">
        <v>180</v>
      </c>
      <c r="R64" t="s">
        <v>151</v>
      </c>
      <c r="S64">
        <v>0</v>
      </c>
    </row>
    <row r="65" spans="1:19" x14ac:dyDescent="0.25">
      <c r="A65" t="s">
        <v>2210</v>
      </c>
      <c r="B65" t="s">
        <v>44</v>
      </c>
      <c r="C65" t="s">
        <v>2211</v>
      </c>
      <c r="D65" t="s">
        <v>2212</v>
      </c>
      <c r="E65">
        <v>6017518893</v>
      </c>
      <c r="F65">
        <v>3108128752</v>
      </c>
      <c r="G65" s="3" t="s">
        <v>2213</v>
      </c>
      <c r="H65" s="3" t="s">
        <v>2214</v>
      </c>
      <c r="I65" t="s">
        <v>112</v>
      </c>
      <c r="J65" t="s">
        <v>47</v>
      </c>
      <c r="K65" s="4">
        <v>390</v>
      </c>
      <c r="L65" t="s">
        <v>146</v>
      </c>
      <c r="M65" t="s">
        <v>146</v>
      </c>
      <c r="N65">
        <v>25</v>
      </c>
      <c r="O65">
        <v>10</v>
      </c>
      <c r="P65" t="s">
        <v>2159</v>
      </c>
      <c r="Q65">
        <v>180</v>
      </c>
      <c r="R65" t="s">
        <v>151</v>
      </c>
      <c r="S65">
        <v>0</v>
      </c>
    </row>
    <row r="66" spans="1:19" x14ac:dyDescent="0.25">
      <c r="A66" t="s">
        <v>2210</v>
      </c>
      <c r="B66" t="s">
        <v>44</v>
      </c>
      <c r="C66" t="s">
        <v>2211</v>
      </c>
      <c r="D66" t="s">
        <v>2212</v>
      </c>
      <c r="E66">
        <v>6017518893</v>
      </c>
      <c r="F66">
        <v>3108128752</v>
      </c>
      <c r="G66" s="3" t="s">
        <v>2213</v>
      </c>
      <c r="H66" s="3" t="s">
        <v>2214</v>
      </c>
      <c r="I66" t="s">
        <v>113</v>
      </c>
      <c r="J66" t="s">
        <v>48</v>
      </c>
      <c r="K66" s="4">
        <v>370</v>
      </c>
      <c r="L66" t="s">
        <v>146</v>
      </c>
      <c r="M66" t="s">
        <v>146</v>
      </c>
      <c r="N66">
        <v>25</v>
      </c>
      <c r="O66">
        <v>10</v>
      </c>
      <c r="P66" t="s">
        <v>2159</v>
      </c>
      <c r="Q66">
        <v>180</v>
      </c>
      <c r="R66" t="s">
        <v>151</v>
      </c>
      <c r="S66">
        <v>0</v>
      </c>
    </row>
    <row r="67" spans="1:19" x14ac:dyDescent="0.25">
      <c r="A67" t="s">
        <v>2210</v>
      </c>
      <c r="B67" t="s">
        <v>44</v>
      </c>
      <c r="C67" t="s">
        <v>2211</v>
      </c>
      <c r="D67" t="s">
        <v>2212</v>
      </c>
      <c r="E67">
        <v>6017518893</v>
      </c>
      <c r="F67">
        <v>3108128752</v>
      </c>
      <c r="G67" s="3" t="s">
        <v>2213</v>
      </c>
      <c r="H67" s="3" t="s">
        <v>2214</v>
      </c>
      <c r="I67" t="s">
        <v>114</v>
      </c>
      <c r="J67" t="s">
        <v>49</v>
      </c>
      <c r="K67" s="4">
        <v>343</v>
      </c>
      <c r="L67" t="s">
        <v>146</v>
      </c>
      <c r="M67" t="s">
        <v>146</v>
      </c>
      <c r="N67">
        <v>25</v>
      </c>
      <c r="O67">
        <v>10</v>
      </c>
      <c r="P67" t="s">
        <v>2159</v>
      </c>
      <c r="Q67">
        <v>180</v>
      </c>
      <c r="R67" t="s">
        <v>151</v>
      </c>
      <c r="S67">
        <v>0</v>
      </c>
    </row>
    <row r="68" spans="1:19" x14ac:dyDescent="0.25">
      <c r="A68" t="s">
        <v>2210</v>
      </c>
      <c r="B68" t="s">
        <v>44</v>
      </c>
      <c r="C68" t="s">
        <v>2211</v>
      </c>
      <c r="D68" t="s">
        <v>2212</v>
      </c>
      <c r="E68">
        <v>6017518893</v>
      </c>
      <c r="F68">
        <v>3108128752</v>
      </c>
      <c r="G68" s="3" t="s">
        <v>2213</v>
      </c>
      <c r="H68" s="3" t="s">
        <v>2214</v>
      </c>
      <c r="I68" t="s">
        <v>115</v>
      </c>
      <c r="J68" t="s">
        <v>50</v>
      </c>
      <c r="K68" s="4">
        <v>343</v>
      </c>
      <c r="L68" t="s">
        <v>146</v>
      </c>
      <c r="M68" t="s">
        <v>146</v>
      </c>
      <c r="N68">
        <v>25</v>
      </c>
      <c r="O68">
        <v>10</v>
      </c>
      <c r="P68" t="s">
        <v>2159</v>
      </c>
      <c r="Q68">
        <v>180</v>
      </c>
      <c r="R68" t="s">
        <v>151</v>
      </c>
      <c r="S68">
        <v>0</v>
      </c>
    </row>
  </sheetData>
  <autoFilter ref="A1:R68" xr:uid="{67BB3423-51AA-470B-AAB3-5E2148D3FAA2}"/>
  <phoneticPr fontId="4" type="noConversion"/>
  <hyperlinks>
    <hyperlink ref="G2" r:id="rId1" display="https://ciacomeq.com/" xr:uid="{FE1BD7FB-B125-4E3C-8A86-65987DFDC4F4}"/>
    <hyperlink ref="H2" r:id="rId2" xr:uid="{4C1F65FC-D30E-492A-8290-DDE147660773}"/>
    <hyperlink ref="G3" r:id="rId3" display="https://ciacomeq.com/" xr:uid="{DC9441C9-EA4E-4AA9-927E-6BEA90FA8C40}"/>
    <hyperlink ref="G4" r:id="rId4" display="https://ciacomeq.com/" xr:uid="{5907EDDE-6340-4649-AD37-81D139144B2B}"/>
    <hyperlink ref="G5" r:id="rId5" display="https://ciacomeq.com/" xr:uid="{F196E7F7-4B0D-417E-AF64-56AF6AFA1ACA}"/>
    <hyperlink ref="G6" r:id="rId6" display="https://ciacomeq.com/" xr:uid="{24362683-993B-4224-B248-358212349306}"/>
    <hyperlink ref="G7" r:id="rId7" display="https://ciacomeq.com/" xr:uid="{28B9CFC0-95C8-4A4F-8D0D-BBA481AE2A9A}"/>
    <hyperlink ref="H3" r:id="rId8" xr:uid="{004A1A6D-059D-4C54-A8D8-C2B8513B8B2C}"/>
    <hyperlink ref="H4" r:id="rId9" xr:uid="{AD278E65-B3A2-44C8-B5ED-B5D80D962282}"/>
    <hyperlink ref="H5" r:id="rId10" xr:uid="{5F0EE06E-53C4-43D9-A164-3BFA81AD8909}"/>
    <hyperlink ref="H6" r:id="rId11" xr:uid="{02D4803D-D9EF-4283-93C6-85B04CCA83A7}"/>
    <hyperlink ref="H7" r:id="rId12" xr:uid="{BE1B2C7B-6F60-460F-977A-1719C6C6B896}"/>
    <hyperlink ref="H21" r:id="rId13" xr:uid="{83196180-A597-406D-8089-7CB2B994BF49}"/>
    <hyperlink ref="H22:H24" r:id="rId14" display="comercial3@quimicosfergquim.com" xr:uid="{779F42FA-9FE5-4EED-9438-76B91DC2EA74}"/>
    <hyperlink ref="G11" r:id="rId15" display="https://distribuidoraaliados.com/" xr:uid="{183F08C4-CB91-44E8-8A56-DD5C4F2C2B77}"/>
    <hyperlink ref="G12" r:id="rId16" display="https://distribuidoraaliados.com/" xr:uid="{14B3188A-BABF-4DE6-AA79-16FED0E68CD0}"/>
    <hyperlink ref="G13" r:id="rId17" display="https://distribuidoraaliados.com/" xr:uid="{39AEA37B-5BEE-44F1-97C1-D6D4E59B5792}"/>
    <hyperlink ref="G21" r:id="rId18" display="https://fergquimsas.com.co/" xr:uid="{C712522E-5300-4AC3-AE7C-B2B6D283B4FF}"/>
    <hyperlink ref="G22:G24" r:id="rId19" display="https://fergquimsas.com.co/" xr:uid="{02A88BBA-7326-46EB-A9D4-D7AC18CE2E0A}"/>
    <hyperlink ref="G8" r:id="rId20" display="https://ciacomeq.com/" xr:uid="{080D0F70-C509-4197-BD3E-458F6DCA4BD4}"/>
    <hyperlink ref="H8" r:id="rId21" xr:uid="{4ED3D658-CEB9-4C1A-B64B-B1655278220C}"/>
    <hyperlink ref="G9" r:id="rId22" display="https://ciacomeq.com/" xr:uid="{D6FE94C1-24F1-4419-A51F-ED1E74FBBB6F}"/>
    <hyperlink ref="G10" r:id="rId23" display="https://ciacomeq.com/" xr:uid="{50AA94B0-8C06-4D82-90F2-BA3BC15A1655}"/>
    <hyperlink ref="H9" r:id="rId24" xr:uid="{C44DB705-C6D4-4D40-A789-9282F4BD3CFF}"/>
    <hyperlink ref="H10" r:id="rId25" xr:uid="{DA25C35B-8696-4C66-9180-E32E0E0FD59F}"/>
    <hyperlink ref="G14" r:id="rId26" display="https://distribuidoraaliados.com/" xr:uid="{17216740-2A9C-42E3-8F3C-6FA9FABB99EE}"/>
    <hyperlink ref="G17" r:id="rId27" display="https://distribuidoraaliados.com/" xr:uid="{ADF2FBE5-D6C8-4FFE-8D0E-3E776914F6FE}"/>
    <hyperlink ref="G20" r:id="rId28" display="https://distribuidoraaliados.com/" xr:uid="{50F562E5-64EA-4923-BFFA-2E22E30B4E5D}"/>
    <hyperlink ref="G15" r:id="rId29" display="https://distribuidoraaliados.com/" xr:uid="{7A396D56-8FDB-4C55-A75F-CFCF0147D3C3}"/>
    <hyperlink ref="G18" r:id="rId30" display="https://distribuidoraaliados.com/" xr:uid="{75969F2C-64F3-4CCE-A047-9CEAE77A2C68}"/>
    <hyperlink ref="G16" r:id="rId31" display="https://distribuidoraaliados.com/" xr:uid="{90896779-3E9E-4159-A052-2AB4B281BE6F}"/>
    <hyperlink ref="G19" r:id="rId32" display="https://distribuidoraaliados.com/" xr:uid="{002EDF95-5C58-4F38-9796-BC73FB435EA8}"/>
    <hyperlink ref="H25" r:id="rId33" xr:uid="{59C57183-2462-4131-BEDA-EADDADF9AF26}"/>
    <hyperlink ref="H26:H28" r:id="rId34" display="comercial3@quimicosfergquim.com" xr:uid="{54B0F04D-21ED-4A62-A9FF-42F57F361170}"/>
    <hyperlink ref="G25" r:id="rId35" display="https://fergquimsas.com.co/" xr:uid="{EE6BCBD3-715A-471B-BA65-6AD828A1B73C}"/>
    <hyperlink ref="G26:G28" r:id="rId36" display="https://fergquimsas.com.co/" xr:uid="{C2541E85-F914-4126-846F-EA96B5037C8E}"/>
    <hyperlink ref="G31" r:id="rId37" display="https://aseringsas.co/" xr:uid="{2F2C127E-B181-4CEE-BDA2-36D8DB755810}"/>
    <hyperlink ref="G29" r:id="rId38" display="https://proquimicasjg.com/" xr:uid="{263945C4-2023-4AB5-8753-F9D7D4B99181}"/>
    <hyperlink ref="G30" r:id="rId39" display="https://proquimicasjg.com/" xr:uid="{6173A05A-88D7-4351-8659-D5181AE4908A}"/>
    <hyperlink ref="H40" r:id="rId40" xr:uid="{89BE272D-09B7-401A-827C-15633A114F44}"/>
    <hyperlink ref="G41" r:id="rId41" display="https://www.hannacolombia.com/" xr:uid="{B1EFBCEA-7328-4FEB-A8A6-1A1A9F95DF7B}"/>
    <hyperlink ref="H39" r:id="rId42" xr:uid="{315DA70C-FD59-4C15-9C62-C4DA3485C6BB}"/>
    <hyperlink ref="G42" r:id="rId43" display="https://www.hannacolombia.com/" xr:uid="{6AF80225-2CE5-4297-BD5B-7C3409EE9519}"/>
    <hyperlink ref="G43" r:id="rId44" display="https://www.hannacolombia.com/" xr:uid="{C799C7D7-6819-4AB0-8FAD-AC9C3068AA42}"/>
    <hyperlink ref="G44" r:id="rId45" display="https://www.hannacolombia.com/" xr:uid="{DC58CD13-5799-44FF-BBBC-16BC12E1F0F9}"/>
    <hyperlink ref="G45" r:id="rId46" display="https://www.hannacolombia.com/" xr:uid="{57F68230-9A13-4B44-838E-4929F37E6BBF}"/>
    <hyperlink ref="G46" r:id="rId47" display="https://www.hannacolombia.com/" xr:uid="{222629EA-EF20-4D18-8E56-39446BDFD90E}"/>
    <hyperlink ref="G47" r:id="rId48" display="https://www.hannacolombia.com/" xr:uid="{164FA31E-8209-4D45-891C-6309D6E0A992}"/>
    <hyperlink ref="G48" r:id="rId49" display="https://www.hannacolombia.com/" xr:uid="{3D520539-585E-4901-A508-578865A5D5C6}"/>
    <hyperlink ref="G49" r:id="rId50" display="https://www.hannacolombia.com/" xr:uid="{3E788B9A-185D-4A57-A2B2-A75FA03B590F}"/>
    <hyperlink ref="G50" r:id="rId51" display="https://www.hannacolombia.com/" xr:uid="{5ADF7BCA-6CD1-4B40-9135-9B5875DAE367}"/>
    <hyperlink ref="G51" r:id="rId52" display="https://www.hannacolombia.com/" xr:uid="{D636998C-218F-4642-93E9-1EB2AA697DD1}"/>
    <hyperlink ref="G52" r:id="rId53" display="https://www.hannacolombia.com/" xr:uid="{1BA2D987-A505-4EBE-B786-1559F020BEEF}"/>
    <hyperlink ref="G53" r:id="rId54" display="https://www.hannacolombia.com/" xr:uid="{C5DB738D-CB9F-4869-ABBC-1D8DE2E5ABC8}"/>
    <hyperlink ref="G54" r:id="rId55" display="https://www.hannacolombia.com/" xr:uid="{9BB65DCA-8468-4943-8B8F-9757A8260F45}"/>
    <hyperlink ref="G55" r:id="rId56" display="https://www.hannacolombia.com/" xr:uid="{9475C1A6-72DF-4545-8ECA-71055D454E32}"/>
    <hyperlink ref="G56" r:id="rId57" display="https://www.hannacolombia.com/" xr:uid="{A273BF56-DAC0-4F2C-8B54-5C4C5DD2BE62}"/>
    <hyperlink ref="G57" r:id="rId58" display="https://www.hannacolombia.com/" xr:uid="{5A6ED319-F672-4222-8D0E-9892C6354457}"/>
    <hyperlink ref="G58" r:id="rId59" display="https://www.hannacolombia.com/" xr:uid="{10AC1651-0B37-4B77-860B-C5FA6D24342C}"/>
    <hyperlink ref="G59" r:id="rId60" display="https://www.hannacolombia.com/" xr:uid="{F462AD52-1559-456D-8533-C3824ED51F6F}"/>
    <hyperlink ref="G60" r:id="rId61" display="https://www.hannacolombia.com/" xr:uid="{44DC86C3-2136-4A2C-8EB0-20515198D7AC}"/>
    <hyperlink ref="G32" r:id="rId62" display="https://aseringsas.co/" xr:uid="{A5C319E0-E97C-47C5-AECC-FC8244D4CED7}"/>
    <hyperlink ref="G33" r:id="rId63" display="https://aseringsas.co/" xr:uid="{346D5A77-85F6-4116-949D-BFAED6D8B12D}"/>
    <hyperlink ref="G35" r:id="rId64" display="https://aseringsas.co/" xr:uid="{F174787D-24C7-4A55-AAB6-C41DC6EE3263}"/>
    <hyperlink ref="G37" r:id="rId65" display="https://aseringsas.co/" xr:uid="{D6103E79-B9FF-4D03-896E-408E8B450142}"/>
    <hyperlink ref="G34" r:id="rId66" display="https://aseringsas.co/" xr:uid="{F0BE15B7-9F62-400E-93FE-C6F25749DC91}"/>
    <hyperlink ref="G36" r:id="rId67" display="https://aseringsas.co/" xr:uid="{15CB09A4-A380-4205-AB3E-20AD7E8DF693}"/>
    <hyperlink ref="H61" r:id="rId68" display="mailto:servicioalcliente@ramguz.com.co" xr:uid="{F42D7D6C-1B65-476F-AB48-079EBC914045}"/>
    <hyperlink ref="G61" r:id="rId69" display="https://ramguz.com/" xr:uid="{223C6F5C-9F60-42B3-A437-576EC5FBC7AA}"/>
    <hyperlink ref="H62" r:id="rId70" display="mailto:servicioalcliente@ramguz.com.co" xr:uid="{3769A560-1F12-441D-88E7-C499180ADF63}"/>
    <hyperlink ref="G62" r:id="rId71" display="https://ramguz.com/" xr:uid="{13C1D0C3-32FC-498C-90E9-27EE62DA784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D068F-2E33-4ED4-8613-2234B574D7A2}">
  <dimension ref="A1:C847"/>
  <sheetViews>
    <sheetView topLeftCell="A350" workbookViewId="0">
      <selection activeCell="B502" sqref="B502"/>
    </sheetView>
  </sheetViews>
  <sheetFormatPr baseColWidth="10" defaultRowHeight="15" x14ac:dyDescent="0.25"/>
  <cols>
    <col min="1" max="1" width="12.28515625" bestFit="1" customWidth="1"/>
    <col min="2" max="2" width="55.7109375" bestFit="1" customWidth="1"/>
    <col min="3" max="3" width="14.28515625" bestFit="1" customWidth="1"/>
  </cols>
  <sheetData>
    <row r="1" spans="1:3" x14ac:dyDescent="0.25">
      <c r="A1" s="1" t="s">
        <v>0</v>
      </c>
      <c r="B1" s="1" t="s">
        <v>217</v>
      </c>
      <c r="C1" s="1" t="s">
        <v>218</v>
      </c>
    </row>
    <row r="2" spans="1:3" x14ac:dyDescent="0.25">
      <c r="A2" t="s">
        <v>1309</v>
      </c>
      <c r="B2" t="s">
        <v>219</v>
      </c>
      <c r="C2">
        <v>137</v>
      </c>
    </row>
    <row r="3" spans="1:3" x14ac:dyDescent="0.25">
      <c r="A3" t="s">
        <v>1310</v>
      </c>
      <c r="B3" t="s">
        <v>220</v>
      </c>
      <c r="C3">
        <v>86</v>
      </c>
    </row>
    <row r="4" spans="1:3" x14ac:dyDescent="0.25">
      <c r="A4" t="s">
        <v>1311</v>
      </c>
      <c r="B4" t="s">
        <v>221</v>
      </c>
      <c r="C4">
        <v>45</v>
      </c>
    </row>
    <row r="5" spans="1:3" x14ac:dyDescent="0.25">
      <c r="A5" t="s">
        <v>1312</v>
      </c>
      <c r="B5" t="s">
        <v>222</v>
      </c>
      <c r="C5">
        <v>60</v>
      </c>
    </row>
    <row r="6" spans="1:3" x14ac:dyDescent="0.25">
      <c r="A6" t="s">
        <v>1313</v>
      </c>
      <c r="B6" t="s">
        <v>223</v>
      </c>
      <c r="C6">
        <v>65</v>
      </c>
    </row>
    <row r="7" spans="1:3" x14ac:dyDescent="0.25">
      <c r="A7" t="s">
        <v>1314</v>
      </c>
      <c r="B7" t="s">
        <v>224</v>
      </c>
      <c r="C7">
        <v>88</v>
      </c>
    </row>
    <row r="8" spans="1:3" x14ac:dyDescent="0.25">
      <c r="A8" t="s">
        <v>1315</v>
      </c>
      <c r="B8" t="s">
        <v>225</v>
      </c>
      <c r="C8">
        <v>7</v>
      </c>
    </row>
    <row r="9" spans="1:3" x14ac:dyDescent="0.25">
      <c r="A9" t="s">
        <v>1316</v>
      </c>
      <c r="B9" t="s">
        <v>226</v>
      </c>
      <c r="C9">
        <v>3</v>
      </c>
    </row>
    <row r="10" spans="1:3" x14ac:dyDescent="0.25">
      <c r="A10" t="s">
        <v>1317</v>
      </c>
      <c r="B10" t="s">
        <v>227</v>
      </c>
      <c r="C10">
        <v>19</v>
      </c>
    </row>
    <row r="11" spans="1:3" x14ac:dyDescent="0.25">
      <c r="A11" t="s">
        <v>1318</v>
      </c>
      <c r="B11" t="s">
        <v>228</v>
      </c>
      <c r="C11">
        <v>16</v>
      </c>
    </row>
    <row r="12" spans="1:3" x14ac:dyDescent="0.25">
      <c r="A12" t="s">
        <v>1319</v>
      </c>
      <c r="B12" t="s">
        <v>229</v>
      </c>
      <c r="C12">
        <v>18</v>
      </c>
    </row>
    <row r="13" spans="1:3" x14ac:dyDescent="0.25">
      <c r="A13" t="s">
        <v>1320</v>
      </c>
      <c r="B13" t="s">
        <v>230</v>
      </c>
      <c r="C13">
        <v>61</v>
      </c>
    </row>
    <row r="14" spans="1:3" x14ac:dyDescent="0.25">
      <c r="A14" t="s">
        <v>1321</v>
      </c>
      <c r="B14" t="s">
        <v>231</v>
      </c>
      <c r="C14">
        <v>109</v>
      </c>
    </row>
    <row r="15" spans="1:3" x14ac:dyDescent="0.25">
      <c r="A15" t="s">
        <v>1322</v>
      </c>
      <c r="B15" t="s">
        <v>232</v>
      </c>
      <c r="C15">
        <v>3</v>
      </c>
    </row>
    <row r="16" spans="1:3" x14ac:dyDescent="0.25">
      <c r="A16" t="s">
        <v>1323</v>
      </c>
      <c r="B16" t="s">
        <v>233</v>
      </c>
      <c r="C16">
        <v>10</v>
      </c>
    </row>
    <row r="17" spans="1:3" x14ac:dyDescent="0.25">
      <c r="A17" t="s">
        <v>1324</v>
      </c>
      <c r="B17" t="s">
        <v>234</v>
      </c>
      <c r="C17">
        <v>3</v>
      </c>
    </row>
    <row r="18" spans="1:3" x14ac:dyDescent="0.25">
      <c r="A18" t="s">
        <v>1325</v>
      </c>
      <c r="B18" t="s">
        <v>235</v>
      </c>
      <c r="C18">
        <v>0</v>
      </c>
    </row>
    <row r="19" spans="1:3" x14ac:dyDescent="0.25">
      <c r="A19" t="s">
        <v>1326</v>
      </c>
      <c r="B19" t="s">
        <v>236</v>
      </c>
      <c r="C19">
        <v>14</v>
      </c>
    </row>
    <row r="20" spans="1:3" x14ac:dyDescent="0.25">
      <c r="A20" t="s">
        <v>1327</v>
      </c>
      <c r="B20" t="s">
        <v>237</v>
      </c>
      <c r="C20">
        <f>160-23</f>
        <v>137</v>
      </c>
    </row>
    <row r="21" spans="1:3" x14ac:dyDescent="0.25">
      <c r="A21" t="s">
        <v>1328</v>
      </c>
      <c r="B21" t="s">
        <v>238</v>
      </c>
      <c r="C21">
        <v>183</v>
      </c>
    </row>
    <row r="22" spans="1:3" x14ac:dyDescent="0.25">
      <c r="A22" t="s">
        <v>1329</v>
      </c>
      <c r="B22" t="s">
        <v>239</v>
      </c>
      <c r="C22">
        <v>64</v>
      </c>
    </row>
    <row r="23" spans="1:3" x14ac:dyDescent="0.25">
      <c r="A23" t="s">
        <v>1330</v>
      </c>
      <c r="B23" t="s">
        <v>240</v>
      </c>
      <c r="C23">
        <v>42</v>
      </c>
    </row>
    <row r="24" spans="1:3" x14ac:dyDescent="0.25">
      <c r="A24" t="s">
        <v>1331</v>
      </c>
      <c r="B24" t="s">
        <v>241</v>
      </c>
      <c r="C24">
        <v>32</v>
      </c>
    </row>
    <row r="25" spans="1:3" x14ac:dyDescent="0.25">
      <c r="A25" t="s">
        <v>1332</v>
      </c>
      <c r="B25" t="s">
        <v>242</v>
      </c>
      <c r="C25">
        <v>29</v>
      </c>
    </row>
    <row r="26" spans="1:3" x14ac:dyDescent="0.25">
      <c r="A26" t="s">
        <v>1333</v>
      </c>
      <c r="B26" t="s">
        <v>243</v>
      </c>
      <c r="C26">
        <v>32</v>
      </c>
    </row>
    <row r="27" spans="1:3" x14ac:dyDescent="0.25">
      <c r="A27" t="s">
        <v>1334</v>
      </c>
      <c r="B27" t="s">
        <v>244</v>
      </c>
      <c r="C27">
        <v>3</v>
      </c>
    </row>
    <row r="28" spans="1:3" x14ac:dyDescent="0.25">
      <c r="A28" t="s">
        <v>1335</v>
      </c>
      <c r="B28" t="s">
        <v>245</v>
      </c>
      <c r="C28">
        <v>11</v>
      </c>
    </row>
    <row r="29" spans="1:3" x14ac:dyDescent="0.25">
      <c r="A29" t="s">
        <v>1336</v>
      </c>
      <c r="B29" t="s">
        <v>246</v>
      </c>
      <c r="C29">
        <v>7</v>
      </c>
    </row>
    <row r="30" spans="1:3" x14ac:dyDescent="0.25">
      <c r="A30" t="s">
        <v>1337</v>
      </c>
      <c r="B30" t="s">
        <v>247</v>
      </c>
      <c r="C30">
        <v>4</v>
      </c>
    </row>
    <row r="31" spans="1:3" x14ac:dyDescent="0.25">
      <c r="A31" t="s">
        <v>1338</v>
      </c>
      <c r="B31" t="s">
        <v>248</v>
      </c>
      <c r="C31">
        <v>10</v>
      </c>
    </row>
    <row r="32" spans="1:3" x14ac:dyDescent="0.25">
      <c r="A32" t="s">
        <v>1339</v>
      </c>
      <c r="B32" t="s">
        <v>249</v>
      </c>
      <c r="C32">
        <v>16</v>
      </c>
    </row>
    <row r="33" spans="1:3" x14ac:dyDescent="0.25">
      <c r="A33" t="s">
        <v>1340</v>
      </c>
      <c r="B33" t="s">
        <v>250</v>
      </c>
      <c r="C33">
        <v>54</v>
      </c>
    </row>
    <row r="34" spans="1:3" x14ac:dyDescent="0.25">
      <c r="A34" t="s">
        <v>1341</v>
      </c>
      <c r="B34" t="s">
        <v>251</v>
      </c>
      <c r="C34">
        <v>36</v>
      </c>
    </row>
    <row r="35" spans="1:3" x14ac:dyDescent="0.25">
      <c r="A35" t="s">
        <v>1342</v>
      </c>
      <c r="B35" t="s">
        <v>252</v>
      </c>
      <c r="C35">
        <v>12</v>
      </c>
    </row>
    <row r="36" spans="1:3" x14ac:dyDescent="0.25">
      <c r="A36" t="s">
        <v>1343</v>
      </c>
      <c r="B36" t="s">
        <v>253</v>
      </c>
      <c r="C36">
        <v>94</v>
      </c>
    </row>
    <row r="37" spans="1:3" x14ac:dyDescent="0.25">
      <c r="A37" t="s">
        <v>1344</v>
      </c>
      <c r="B37" t="s">
        <v>254</v>
      </c>
      <c r="C37">
        <v>43</v>
      </c>
    </row>
    <row r="38" spans="1:3" x14ac:dyDescent="0.25">
      <c r="A38" t="s">
        <v>1345</v>
      </c>
      <c r="B38" t="s">
        <v>255</v>
      </c>
      <c r="C38">
        <v>7</v>
      </c>
    </row>
    <row r="39" spans="1:3" x14ac:dyDescent="0.25">
      <c r="A39" t="s">
        <v>1346</v>
      </c>
      <c r="B39" t="s">
        <v>256</v>
      </c>
      <c r="C39">
        <v>2</v>
      </c>
    </row>
    <row r="40" spans="1:3" x14ac:dyDescent="0.25">
      <c r="A40" t="s">
        <v>1347</v>
      </c>
      <c r="B40" t="s">
        <v>257</v>
      </c>
      <c r="C40">
        <v>2</v>
      </c>
    </row>
    <row r="41" spans="1:3" x14ac:dyDescent="0.25">
      <c r="A41" t="s">
        <v>1348</v>
      </c>
      <c r="B41" t="s">
        <v>258</v>
      </c>
      <c r="C41">
        <v>2</v>
      </c>
    </row>
    <row r="42" spans="1:3" x14ac:dyDescent="0.25">
      <c r="A42" t="s">
        <v>1349</v>
      </c>
      <c r="B42" t="s">
        <v>259</v>
      </c>
      <c r="C42">
        <v>14</v>
      </c>
    </row>
    <row r="43" spans="1:3" x14ac:dyDescent="0.25">
      <c r="A43" t="s">
        <v>1350</v>
      </c>
      <c r="B43" t="s">
        <v>260</v>
      </c>
      <c r="C43">
        <f>238+24</f>
        <v>262</v>
      </c>
    </row>
    <row r="44" spans="1:3" x14ac:dyDescent="0.25">
      <c r="A44" t="s">
        <v>1351</v>
      </c>
      <c r="B44" t="s">
        <v>261</v>
      </c>
      <c r="C44">
        <v>131</v>
      </c>
    </row>
    <row r="45" spans="1:3" x14ac:dyDescent="0.25">
      <c r="A45" t="s">
        <v>1352</v>
      </c>
      <c r="B45" t="s">
        <v>262</v>
      </c>
      <c r="C45">
        <v>1</v>
      </c>
    </row>
    <row r="46" spans="1:3" x14ac:dyDescent="0.25">
      <c r="A46" t="s">
        <v>1353</v>
      </c>
      <c r="B46" t="s">
        <v>236</v>
      </c>
      <c r="C46">
        <v>1</v>
      </c>
    </row>
    <row r="47" spans="1:3" x14ac:dyDescent="0.25">
      <c r="A47" t="s">
        <v>1354</v>
      </c>
      <c r="B47" t="s">
        <v>263</v>
      </c>
      <c r="C47">
        <v>18</v>
      </c>
    </row>
    <row r="48" spans="1:3" x14ac:dyDescent="0.25">
      <c r="A48" t="s">
        <v>1355</v>
      </c>
      <c r="B48" t="s">
        <v>264</v>
      </c>
      <c r="C48">
        <v>1</v>
      </c>
    </row>
    <row r="49" spans="1:3" x14ac:dyDescent="0.25">
      <c r="A49" t="s">
        <v>1356</v>
      </c>
      <c r="B49" t="s">
        <v>265</v>
      </c>
      <c r="C49">
        <v>2</v>
      </c>
    </row>
    <row r="50" spans="1:3" x14ac:dyDescent="0.25">
      <c r="A50" t="s">
        <v>1357</v>
      </c>
      <c r="B50" t="s">
        <v>266</v>
      </c>
      <c r="C50">
        <v>2</v>
      </c>
    </row>
    <row r="51" spans="1:3" x14ac:dyDescent="0.25">
      <c r="A51" t="s">
        <v>1358</v>
      </c>
      <c r="B51" t="s">
        <v>267</v>
      </c>
      <c r="C51">
        <v>9</v>
      </c>
    </row>
    <row r="52" spans="1:3" x14ac:dyDescent="0.25">
      <c r="A52" t="s">
        <v>1359</v>
      </c>
      <c r="B52" t="s">
        <v>268</v>
      </c>
      <c r="C52">
        <v>30</v>
      </c>
    </row>
    <row r="53" spans="1:3" x14ac:dyDescent="0.25">
      <c r="A53" t="s">
        <v>1360</v>
      </c>
      <c r="B53" t="s">
        <v>269</v>
      </c>
      <c r="C53">
        <v>38</v>
      </c>
    </row>
    <row r="54" spans="1:3" x14ac:dyDescent="0.25">
      <c r="A54" t="s">
        <v>1361</v>
      </c>
      <c r="B54" t="s">
        <v>270</v>
      </c>
      <c r="C54">
        <v>9</v>
      </c>
    </row>
    <row r="55" spans="1:3" x14ac:dyDescent="0.25">
      <c r="A55" t="s">
        <v>1362</v>
      </c>
      <c r="B55" t="s">
        <v>271</v>
      </c>
      <c r="C55">
        <v>11</v>
      </c>
    </row>
    <row r="56" spans="1:3" x14ac:dyDescent="0.25">
      <c r="A56" t="s">
        <v>1363</v>
      </c>
      <c r="B56" t="s">
        <v>272</v>
      </c>
      <c r="C56">
        <v>10</v>
      </c>
    </row>
    <row r="57" spans="1:3" x14ac:dyDescent="0.25">
      <c r="A57" t="s">
        <v>1364</v>
      </c>
      <c r="B57" t="s">
        <v>273</v>
      </c>
      <c r="C57">
        <v>8</v>
      </c>
    </row>
    <row r="58" spans="1:3" x14ac:dyDescent="0.25">
      <c r="A58" t="s">
        <v>1365</v>
      </c>
      <c r="B58" t="s">
        <v>274</v>
      </c>
      <c r="C58">
        <v>6</v>
      </c>
    </row>
    <row r="59" spans="1:3" x14ac:dyDescent="0.25">
      <c r="A59" t="s">
        <v>1366</v>
      </c>
      <c r="B59" t="s">
        <v>275</v>
      </c>
      <c r="C59">
        <v>10</v>
      </c>
    </row>
    <row r="60" spans="1:3" x14ac:dyDescent="0.25">
      <c r="A60" t="s">
        <v>1367</v>
      </c>
      <c r="B60" t="s">
        <v>276</v>
      </c>
      <c r="C60">
        <v>5</v>
      </c>
    </row>
    <row r="61" spans="1:3" x14ac:dyDescent="0.25">
      <c r="A61" t="s">
        <v>1368</v>
      </c>
      <c r="B61" t="s">
        <v>277</v>
      </c>
      <c r="C61">
        <v>62</v>
      </c>
    </row>
    <row r="62" spans="1:3" x14ac:dyDescent="0.25">
      <c r="A62" t="s">
        <v>1369</v>
      </c>
      <c r="B62" t="s">
        <v>278</v>
      </c>
      <c r="C62">
        <v>20</v>
      </c>
    </row>
    <row r="63" spans="1:3" x14ac:dyDescent="0.25">
      <c r="A63" t="s">
        <v>1370</v>
      </c>
      <c r="B63" t="s">
        <v>279</v>
      </c>
      <c r="C63">
        <v>22</v>
      </c>
    </row>
    <row r="64" spans="1:3" x14ac:dyDescent="0.25">
      <c r="A64" t="s">
        <v>1371</v>
      </c>
      <c r="B64" t="s">
        <v>280</v>
      </c>
      <c r="C64">
        <v>17</v>
      </c>
    </row>
    <row r="65" spans="1:3" x14ac:dyDescent="0.25">
      <c r="A65" t="s">
        <v>1372</v>
      </c>
      <c r="B65" t="s">
        <v>281</v>
      </c>
      <c r="C65">
        <v>26</v>
      </c>
    </row>
    <row r="66" spans="1:3" x14ac:dyDescent="0.25">
      <c r="A66" t="s">
        <v>1373</v>
      </c>
      <c r="B66" t="s">
        <v>282</v>
      </c>
      <c r="C66">
        <v>63</v>
      </c>
    </row>
    <row r="67" spans="1:3" x14ac:dyDescent="0.25">
      <c r="A67" t="s">
        <v>1374</v>
      </c>
      <c r="B67" t="s">
        <v>283</v>
      </c>
      <c r="C67">
        <v>15</v>
      </c>
    </row>
    <row r="68" spans="1:3" x14ac:dyDescent="0.25">
      <c r="A68" t="s">
        <v>1375</v>
      </c>
      <c r="B68" t="s">
        <v>284</v>
      </c>
      <c r="C68">
        <v>51</v>
      </c>
    </row>
    <row r="69" spans="1:3" x14ac:dyDescent="0.25">
      <c r="A69" t="s">
        <v>1376</v>
      </c>
      <c r="B69" t="s">
        <v>285</v>
      </c>
      <c r="C69">
        <f>45+16</f>
        <v>61</v>
      </c>
    </row>
    <row r="70" spans="1:3" x14ac:dyDescent="0.25">
      <c r="A70" t="s">
        <v>1377</v>
      </c>
      <c r="B70" t="s">
        <v>286</v>
      </c>
      <c r="C70">
        <v>74</v>
      </c>
    </row>
    <row r="71" spans="1:3" x14ac:dyDescent="0.25">
      <c r="A71" t="s">
        <v>1378</v>
      </c>
      <c r="B71" t="s">
        <v>287</v>
      </c>
      <c r="C71">
        <v>73</v>
      </c>
    </row>
    <row r="72" spans="1:3" x14ac:dyDescent="0.25">
      <c r="A72" t="s">
        <v>1379</v>
      </c>
      <c r="B72" t="s">
        <v>288</v>
      </c>
      <c r="C72">
        <v>369</v>
      </c>
    </row>
    <row r="73" spans="1:3" x14ac:dyDescent="0.25">
      <c r="A73" t="s">
        <v>1380</v>
      </c>
      <c r="B73" t="s">
        <v>289</v>
      </c>
      <c r="C73">
        <v>5</v>
      </c>
    </row>
    <row r="74" spans="1:3" x14ac:dyDescent="0.25">
      <c r="A74" t="s">
        <v>1381</v>
      </c>
      <c r="B74" t="s">
        <v>290</v>
      </c>
      <c r="C74">
        <v>15</v>
      </c>
    </row>
    <row r="75" spans="1:3" x14ac:dyDescent="0.25">
      <c r="A75" t="s">
        <v>1382</v>
      </c>
      <c r="B75" t="s">
        <v>291</v>
      </c>
      <c r="C75">
        <v>5</v>
      </c>
    </row>
    <row r="76" spans="1:3" x14ac:dyDescent="0.25">
      <c r="A76" t="s">
        <v>1383</v>
      </c>
      <c r="B76" t="s">
        <v>292</v>
      </c>
      <c r="C76">
        <v>2</v>
      </c>
    </row>
    <row r="77" spans="1:3" x14ac:dyDescent="0.25">
      <c r="A77" t="s">
        <v>1384</v>
      </c>
      <c r="B77" t="s">
        <v>293</v>
      </c>
      <c r="C77">
        <v>85</v>
      </c>
    </row>
    <row r="78" spans="1:3" x14ac:dyDescent="0.25">
      <c r="A78" t="s">
        <v>1385</v>
      </c>
      <c r="B78" t="s">
        <v>294</v>
      </c>
      <c r="C78">
        <v>4</v>
      </c>
    </row>
    <row r="79" spans="1:3" x14ac:dyDescent="0.25">
      <c r="A79" t="s">
        <v>1386</v>
      </c>
      <c r="B79" t="s">
        <v>295</v>
      </c>
      <c r="C79">
        <v>4</v>
      </c>
    </row>
    <row r="80" spans="1:3" x14ac:dyDescent="0.25">
      <c r="A80" t="s">
        <v>1387</v>
      </c>
      <c r="B80" t="s">
        <v>296</v>
      </c>
      <c r="C80">
        <v>78</v>
      </c>
    </row>
    <row r="81" spans="1:3" x14ac:dyDescent="0.25">
      <c r="A81" t="s">
        <v>1388</v>
      </c>
      <c r="B81" t="s">
        <v>297</v>
      </c>
      <c r="C81">
        <f>310+38</f>
        <v>348</v>
      </c>
    </row>
    <row r="82" spans="1:3" x14ac:dyDescent="0.25">
      <c r="A82" t="s">
        <v>1389</v>
      </c>
      <c r="B82" t="s">
        <v>298</v>
      </c>
      <c r="C82">
        <v>7</v>
      </c>
    </row>
    <row r="83" spans="1:3" x14ac:dyDescent="0.25">
      <c r="A83" t="s">
        <v>1390</v>
      </c>
      <c r="B83" t="s">
        <v>299</v>
      </c>
      <c r="C83">
        <v>63</v>
      </c>
    </row>
    <row r="84" spans="1:3" x14ac:dyDescent="0.25">
      <c r="A84" t="s">
        <v>1391</v>
      </c>
      <c r="B84" t="s">
        <v>300</v>
      </c>
      <c r="C84">
        <v>14</v>
      </c>
    </row>
    <row r="85" spans="1:3" x14ac:dyDescent="0.25">
      <c r="A85" t="s">
        <v>1392</v>
      </c>
      <c r="B85" t="s">
        <v>301</v>
      </c>
      <c r="C85">
        <v>2</v>
      </c>
    </row>
    <row r="86" spans="1:3" x14ac:dyDescent="0.25">
      <c r="A86" t="s">
        <v>1393</v>
      </c>
      <c r="B86" t="s">
        <v>302</v>
      </c>
      <c r="C86">
        <v>5</v>
      </c>
    </row>
    <row r="87" spans="1:3" x14ac:dyDescent="0.25">
      <c r="A87" t="s">
        <v>1394</v>
      </c>
      <c r="B87" t="s">
        <v>303</v>
      </c>
      <c r="C87">
        <v>2</v>
      </c>
    </row>
    <row r="88" spans="1:3" x14ac:dyDescent="0.25">
      <c r="A88" t="s">
        <v>1395</v>
      </c>
      <c r="B88" t="s">
        <v>304</v>
      </c>
      <c r="C88">
        <v>8</v>
      </c>
    </row>
    <row r="89" spans="1:3" x14ac:dyDescent="0.25">
      <c r="A89" t="s">
        <v>1396</v>
      </c>
      <c r="B89" t="s">
        <v>305</v>
      </c>
      <c r="C89">
        <v>4</v>
      </c>
    </row>
    <row r="90" spans="1:3" x14ac:dyDescent="0.25">
      <c r="A90" t="s">
        <v>1397</v>
      </c>
      <c r="B90" t="s">
        <v>306</v>
      </c>
      <c r="C90">
        <v>6</v>
      </c>
    </row>
    <row r="91" spans="1:3" x14ac:dyDescent="0.25">
      <c r="A91" t="s">
        <v>1398</v>
      </c>
      <c r="B91" t="s">
        <v>307</v>
      </c>
      <c r="C91">
        <v>33</v>
      </c>
    </row>
    <row r="92" spans="1:3" x14ac:dyDescent="0.25">
      <c r="A92" t="s">
        <v>1399</v>
      </c>
      <c r="B92" t="s">
        <v>308</v>
      </c>
      <c r="C92">
        <v>22</v>
      </c>
    </row>
    <row r="93" spans="1:3" x14ac:dyDescent="0.25">
      <c r="A93" t="s">
        <v>1400</v>
      </c>
      <c r="B93" t="s">
        <v>309</v>
      </c>
      <c r="C93">
        <v>6</v>
      </c>
    </row>
    <row r="94" spans="1:3" x14ac:dyDescent="0.25">
      <c r="A94" t="s">
        <v>1401</v>
      </c>
      <c r="B94" t="s">
        <v>310</v>
      </c>
      <c r="C94">
        <v>72</v>
      </c>
    </row>
    <row r="95" spans="1:3" x14ac:dyDescent="0.25">
      <c r="A95" t="s">
        <v>1402</v>
      </c>
      <c r="B95" t="s">
        <v>311</v>
      </c>
      <c r="C95">
        <v>14</v>
      </c>
    </row>
    <row r="96" spans="1:3" x14ac:dyDescent="0.25">
      <c r="A96" t="s">
        <v>1403</v>
      </c>
      <c r="B96" t="s">
        <v>312</v>
      </c>
      <c r="C96">
        <v>18</v>
      </c>
    </row>
    <row r="97" spans="1:3" x14ac:dyDescent="0.25">
      <c r="A97" t="s">
        <v>1404</v>
      </c>
      <c r="B97" t="s">
        <v>313</v>
      </c>
      <c r="C97">
        <v>69</v>
      </c>
    </row>
    <row r="98" spans="1:3" x14ac:dyDescent="0.25">
      <c r="A98" t="s">
        <v>1405</v>
      </c>
      <c r="B98" t="s">
        <v>314</v>
      </c>
      <c r="C98">
        <v>20</v>
      </c>
    </row>
    <row r="99" spans="1:3" x14ac:dyDescent="0.25">
      <c r="A99" t="s">
        <v>1406</v>
      </c>
      <c r="B99" t="s">
        <v>315</v>
      </c>
      <c r="C99">
        <v>141</v>
      </c>
    </row>
    <row r="100" spans="1:3" x14ac:dyDescent="0.25">
      <c r="A100" t="s">
        <v>1407</v>
      </c>
      <c r="B100" t="s">
        <v>316</v>
      </c>
      <c r="C100">
        <v>53</v>
      </c>
    </row>
    <row r="101" spans="1:3" x14ac:dyDescent="0.25">
      <c r="A101" t="s">
        <v>1408</v>
      </c>
      <c r="B101" t="s">
        <v>317</v>
      </c>
      <c r="C101">
        <v>74</v>
      </c>
    </row>
    <row r="102" spans="1:3" x14ac:dyDescent="0.25">
      <c r="A102" t="s">
        <v>1409</v>
      </c>
      <c r="B102" t="s">
        <v>318</v>
      </c>
      <c r="C102">
        <v>31</v>
      </c>
    </row>
    <row r="103" spans="1:3" x14ac:dyDescent="0.25">
      <c r="A103" t="s">
        <v>1410</v>
      </c>
      <c r="B103" t="s">
        <v>319</v>
      </c>
      <c r="C103">
        <f>148+13</f>
        <v>161</v>
      </c>
    </row>
    <row r="104" spans="1:3" x14ac:dyDescent="0.25">
      <c r="A104" t="s">
        <v>1411</v>
      </c>
      <c r="B104" t="s">
        <v>320</v>
      </c>
      <c r="C104">
        <v>28</v>
      </c>
    </row>
    <row r="105" spans="1:3" x14ac:dyDescent="0.25">
      <c r="A105" t="s">
        <v>1412</v>
      </c>
      <c r="B105" t="s">
        <v>321</v>
      </c>
      <c r="C105">
        <v>27</v>
      </c>
    </row>
    <row r="106" spans="1:3" x14ac:dyDescent="0.25">
      <c r="A106" t="s">
        <v>1413</v>
      </c>
      <c r="B106" t="s">
        <v>322</v>
      </c>
      <c r="C106">
        <v>27</v>
      </c>
    </row>
    <row r="107" spans="1:3" x14ac:dyDescent="0.25">
      <c r="A107" t="s">
        <v>1414</v>
      </c>
      <c r="B107" t="s">
        <v>323</v>
      </c>
      <c r="C107">
        <v>9</v>
      </c>
    </row>
    <row r="108" spans="1:3" x14ac:dyDescent="0.25">
      <c r="A108" t="s">
        <v>1415</v>
      </c>
      <c r="B108" t="s">
        <v>324</v>
      </c>
      <c r="C108">
        <v>5</v>
      </c>
    </row>
    <row r="109" spans="1:3" x14ac:dyDescent="0.25">
      <c r="A109" t="s">
        <v>1416</v>
      </c>
      <c r="B109" t="s">
        <v>325</v>
      </c>
      <c r="C109">
        <v>94</v>
      </c>
    </row>
    <row r="110" spans="1:3" x14ac:dyDescent="0.25">
      <c r="A110" t="s">
        <v>1417</v>
      </c>
      <c r="B110" t="s">
        <v>326</v>
      </c>
      <c r="C110">
        <v>9</v>
      </c>
    </row>
    <row r="111" spans="1:3" x14ac:dyDescent="0.25">
      <c r="A111" t="s">
        <v>1418</v>
      </c>
      <c r="B111" t="s">
        <v>327</v>
      </c>
      <c r="C111">
        <v>113</v>
      </c>
    </row>
    <row r="112" spans="1:3" x14ac:dyDescent="0.25">
      <c r="A112" t="s">
        <v>1419</v>
      </c>
      <c r="B112" t="s">
        <v>328</v>
      </c>
      <c r="C112">
        <v>12</v>
      </c>
    </row>
    <row r="113" spans="1:3" x14ac:dyDescent="0.25">
      <c r="A113" t="s">
        <v>1420</v>
      </c>
      <c r="B113" t="s">
        <v>329</v>
      </c>
      <c r="C113">
        <v>4</v>
      </c>
    </row>
    <row r="114" spans="1:3" x14ac:dyDescent="0.25">
      <c r="A114" t="s">
        <v>1421</v>
      </c>
      <c r="B114" t="s">
        <v>330</v>
      </c>
      <c r="C114">
        <v>5</v>
      </c>
    </row>
    <row r="115" spans="1:3" x14ac:dyDescent="0.25">
      <c r="A115" t="s">
        <v>1422</v>
      </c>
      <c r="B115" t="s">
        <v>331</v>
      </c>
      <c r="C115">
        <v>3</v>
      </c>
    </row>
    <row r="116" spans="1:3" x14ac:dyDescent="0.25">
      <c r="A116" t="s">
        <v>1423</v>
      </c>
      <c r="B116" t="s">
        <v>332</v>
      </c>
      <c r="C116">
        <v>2</v>
      </c>
    </row>
    <row r="117" spans="1:3" x14ac:dyDescent="0.25">
      <c r="A117" t="s">
        <v>1424</v>
      </c>
      <c r="B117" t="s">
        <v>333</v>
      </c>
      <c r="C117">
        <v>49</v>
      </c>
    </row>
    <row r="118" spans="1:3" x14ac:dyDescent="0.25">
      <c r="A118" t="s">
        <v>1425</v>
      </c>
      <c r="B118" t="s">
        <v>334</v>
      </c>
      <c r="C118">
        <v>3</v>
      </c>
    </row>
    <row r="119" spans="1:3" x14ac:dyDescent="0.25">
      <c r="A119" t="s">
        <v>1426</v>
      </c>
      <c r="B119" t="s">
        <v>335</v>
      </c>
      <c r="C119">
        <v>2</v>
      </c>
    </row>
    <row r="120" spans="1:3" x14ac:dyDescent="0.25">
      <c r="A120" t="s">
        <v>1427</v>
      </c>
      <c r="B120" t="s">
        <v>336</v>
      </c>
      <c r="C120">
        <v>1</v>
      </c>
    </row>
    <row r="121" spans="1:3" x14ac:dyDescent="0.25">
      <c r="A121" t="s">
        <v>1428</v>
      </c>
      <c r="B121" t="s">
        <v>337</v>
      </c>
      <c r="C121">
        <v>17</v>
      </c>
    </row>
    <row r="122" spans="1:3" x14ac:dyDescent="0.25">
      <c r="A122" t="s">
        <v>1429</v>
      </c>
      <c r="B122" t="s">
        <v>338</v>
      </c>
      <c r="C122">
        <v>2</v>
      </c>
    </row>
    <row r="123" spans="1:3" x14ac:dyDescent="0.25">
      <c r="A123" t="s">
        <v>1430</v>
      </c>
      <c r="B123" t="s">
        <v>339</v>
      </c>
      <c r="C123">
        <v>40</v>
      </c>
    </row>
    <row r="124" spans="1:3" x14ac:dyDescent="0.25">
      <c r="A124" t="s">
        <v>1431</v>
      </c>
      <c r="B124" t="s">
        <v>340</v>
      </c>
      <c r="C124">
        <v>16</v>
      </c>
    </row>
    <row r="125" spans="1:3" x14ac:dyDescent="0.25">
      <c r="A125" t="s">
        <v>1432</v>
      </c>
      <c r="B125" t="s">
        <v>341</v>
      </c>
      <c r="C125">
        <v>5</v>
      </c>
    </row>
    <row r="126" spans="1:3" x14ac:dyDescent="0.25">
      <c r="A126" t="s">
        <v>1433</v>
      </c>
      <c r="B126" t="s">
        <v>342</v>
      </c>
      <c r="C126">
        <v>4</v>
      </c>
    </row>
    <row r="127" spans="1:3" x14ac:dyDescent="0.25">
      <c r="A127" t="s">
        <v>1434</v>
      </c>
      <c r="B127" t="s">
        <v>343</v>
      </c>
      <c r="C127">
        <v>2</v>
      </c>
    </row>
    <row r="128" spans="1:3" x14ac:dyDescent="0.25">
      <c r="A128" t="s">
        <v>1435</v>
      </c>
      <c r="B128" t="s">
        <v>344</v>
      </c>
      <c r="C128">
        <v>2</v>
      </c>
    </row>
    <row r="129" spans="1:3" x14ac:dyDescent="0.25">
      <c r="A129" t="s">
        <v>1436</v>
      </c>
      <c r="B129" t="s">
        <v>345</v>
      </c>
      <c r="C129">
        <v>5</v>
      </c>
    </row>
    <row r="130" spans="1:3" x14ac:dyDescent="0.25">
      <c r="A130" t="s">
        <v>1437</v>
      </c>
      <c r="B130" t="s">
        <v>346</v>
      </c>
      <c r="C130">
        <v>8</v>
      </c>
    </row>
    <row r="131" spans="1:3" x14ac:dyDescent="0.25">
      <c r="A131" t="s">
        <v>1438</v>
      </c>
      <c r="B131" t="s">
        <v>347</v>
      </c>
      <c r="C131">
        <v>10</v>
      </c>
    </row>
    <row r="132" spans="1:3" x14ac:dyDescent="0.25">
      <c r="A132" t="s">
        <v>1439</v>
      </c>
      <c r="B132" t="s">
        <v>348</v>
      </c>
      <c r="C132">
        <v>19</v>
      </c>
    </row>
    <row r="133" spans="1:3" x14ac:dyDescent="0.25">
      <c r="A133" t="s">
        <v>1440</v>
      </c>
      <c r="B133" t="s">
        <v>349</v>
      </c>
      <c r="C133">
        <v>10</v>
      </c>
    </row>
    <row r="134" spans="1:3" x14ac:dyDescent="0.25">
      <c r="A134" t="s">
        <v>1441</v>
      </c>
      <c r="B134" t="s">
        <v>350</v>
      </c>
      <c r="C134">
        <v>6</v>
      </c>
    </row>
    <row r="135" spans="1:3" x14ac:dyDescent="0.25">
      <c r="A135" t="s">
        <v>1442</v>
      </c>
      <c r="B135" t="s">
        <v>351</v>
      </c>
      <c r="C135">
        <v>54</v>
      </c>
    </row>
    <row r="136" spans="1:3" x14ac:dyDescent="0.25">
      <c r="A136" t="s">
        <v>1443</v>
      </c>
      <c r="B136" t="s">
        <v>352</v>
      </c>
      <c r="C136">
        <v>16</v>
      </c>
    </row>
    <row r="137" spans="1:3" x14ac:dyDescent="0.25">
      <c r="A137" t="s">
        <v>1444</v>
      </c>
      <c r="B137" t="s">
        <v>353</v>
      </c>
      <c r="C137">
        <v>32</v>
      </c>
    </row>
    <row r="138" spans="1:3" x14ac:dyDescent="0.25">
      <c r="A138" t="s">
        <v>1445</v>
      </c>
      <c r="B138" t="s">
        <v>354</v>
      </c>
      <c r="C138">
        <v>1</v>
      </c>
    </row>
    <row r="139" spans="1:3" x14ac:dyDescent="0.25">
      <c r="A139" t="s">
        <v>1446</v>
      </c>
      <c r="B139" t="s">
        <v>355</v>
      </c>
      <c r="C139">
        <v>1</v>
      </c>
    </row>
    <row r="140" spans="1:3" x14ac:dyDescent="0.25">
      <c r="A140" t="s">
        <v>1447</v>
      </c>
      <c r="B140" t="s">
        <v>356</v>
      </c>
      <c r="C140">
        <v>7</v>
      </c>
    </row>
    <row r="141" spans="1:3" x14ac:dyDescent="0.25">
      <c r="A141" t="s">
        <v>1448</v>
      </c>
      <c r="B141" t="s">
        <v>357</v>
      </c>
      <c r="C141">
        <v>25</v>
      </c>
    </row>
    <row r="142" spans="1:3" x14ac:dyDescent="0.25">
      <c r="A142" t="s">
        <v>1449</v>
      </c>
      <c r="B142" t="s">
        <v>358</v>
      </c>
      <c r="C142">
        <v>3</v>
      </c>
    </row>
    <row r="143" spans="1:3" x14ac:dyDescent="0.25">
      <c r="A143" t="s">
        <v>1450</v>
      </c>
      <c r="B143" t="s">
        <v>359</v>
      </c>
      <c r="C143">
        <v>2</v>
      </c>
    </row>
    <row r="144" spans="1:3" x14ac:dyDescent="0.25">
      <c r="A144" t="s">
        <v>1451</v>
      </c>
      <c r="B144" t="s">
        <v>360</v>
      </c>
      <c r="C144">
        <v>7</v>
      </c>
    </row>
    <row r="145" spans="1:3" x14ac:dyDescent="0.25">
      <c r="A145" t="s">
        <v>1452</v>
      </c>
      <c r="B145" t="s">
        <v>361</v>
      </c>
      <c r="C145">
        <v>27</v>
      </c>
    </row>
    <row r="146" spans="1:3" x14ac:dyDescent="0.25">
      <c r="A146" t="s">
        <v>1453</v>
      </c>
      <c r="B146" t="s">
        <v>362</v>
      </c>
      <c r="C146">
        <v>4</v>
      </c>
    </row>
    <row r="147" spans="1:3" x14ac:dyDescent="0.25">
      <c r="A147" t="s">
        <v>1454</v>
      </c>
      <c r="B147" t="s">
        <v>363</v>
      </c>
      <c r="C147">
        <v>81</v>
      </c>
    </row>
    <row r="148" spans="1:3" x14ac:dyDescent="0.25">
      <c r="A148" t="s">
        <v>1455</v>
      </c>
      <c r="B148" t="s">
        <v>364</v>
      </c>
      <c r="C148">
        <v>29</v>
      </c>
    </row>
    <row r="149" spans="1:3" x14ac:dyDescent="0.25">
      <c r="A149" t="s">
        <v>1456</v>
      </c>
      <c r="B149" t="s">
        <v>365</v>
      </c>
      <c r="C149">
        <v>48</v>
      </c>
    </row>
    <row r="150" spans="1:3" x14ac:dyDescent="0.25">
      <c r="A150" t="s">
        <v>1457</v>
      </c>
      <c r="B150" t="s">
        <v>366</v>
      </c>
      <c r="C150">
        <v>210</v>
      </c>
    </row>
    <row r="151" spans="1:3" x14ac:dyDescent="0.25">
      <c r="A151" t="s">
        <v>1458</v>
      </c>
      <c r="B151" t="s">
        <v>367</v>
      </c>
      <c r="C151">
        <v>120</v>
      </c>
    </row>
    <row r="152" spans="1:3" x14ac:dyDescent="0.25">
      <c r="A152" t="s">
        <v>1459</v>
      </c>
      <c r="B152" t="s">
        <v>368</v>
      </c>
      <c r="C152">
        <v>1</v>
      </c>
    </row>
    <row r="153" spans="1:3" x14ac:dyDescent="0.25">
      <c r="A153" t="s">
        <v>1460</v>
      </c>
      <c r="B153" t="s">
        <v>369</v>
      </c>
      <c r="C153">
        <f>57+20</f>
        <v>77</v>
      </c>
    </row>
    <row r="154" spans="1:3" x14ac:dyDescent="0.25">
      <c r="A154" t="s">
        <v>1461</v>
      </c>
      <c r="B154" t="s">
        <v>370</v>
      </c>
      <c r="C154">
        <v>1</v>
      </c>
    </row>
    <row r="155" spans="1:3" x14ac:dyDescent="0.25">
      <c r="A155" t="s">
        <v>1462</v>
      </c>
      <c r="B155" t="s">
        <v>371</v>
      </c>
      <c r="C155">
        <v>32</v>
      </c>
    </row>
    <row r="156" spans="1:3" x14ac:dyDescent="0.25">
      <c r="A156" t="s">
        <v>1463</v>
      </c>
      <c r="B156" t="s">
        <v>372</v>
      </c>
      <c r="C156">
        <v>63</v>
      </c>
    </row>
    <row r="157" spans="1:3" x14ac:dyDescent="0.25">
      <c r="A157" t="s">
        <v>1464</v>
      </c>
      <c r="B157" t="s">
        <v>373</v>
      </c>
      <c r="C157">
        <v>40</v>
      </c>
    </row>
    <row r="158" spans="1:3" x14ac:dyDescent="0.25">
      <c r="A158" t="s">
        <v>1465</v>
      </c>
      <c r="B158" t="s">
        <v>374</v>
      </c>
      <c r="C158">
        <v>3</v>
      </c>
    </row>
    <row r="159" spans="1:3" x14ac:dyDescent="0.25">
      <c r="A159" t="s">
        <v>1466</v>
      </c>
      <c r="B159" t="s">
        <v>375</v>
      </c>
      <c r="C159">
        <v>1</v>
      </c>
    </row>
    <row r="160" spans="1:3" x14ac:dyDescent="0.25">
      <c r="A160" t="s">
        <v>1467</v>
      </c>
      <c r="B160" t="s">
        <v>376</v>
      </c>
      <c r="C160">
        <v>1</v>
      </c>
    </row>
    <row r="161" spans="1:3" x14ac:dyDescent="0.25">
      <c r="A161" t="s">
        <v>1468</v>
      </c>
      <c r="B161" t="s">
        <v>377</v>
      </c>
      <c r="C161">
        <v>2</v>
      </c>
    </row>
    <row r="162" spans="1:3" x14ac:dyDescent="0.25">
      <c r="A162" t="s">
        <v>1469</v>
      </c>
      <c r="B162" t="s">
        <v>378</v>
      </c>
      <c r="C162">
        <v>2</v>
      </c>
    </row>
    <row r="163" spans="1:3" x14ac:dyDescent="0.25">
      <c r="A163" t="s">
        <v>1470</v>
      </c>
      <c r="B163" t="s">
        <v>379</v>
      </c>
      <c r="C163">
        <v>1</v>
      </c>
    </row>
    <row r="164" spans="1:3" x14ac:dyDescent="0.25">
      <c r="A164" t="s">
        <v>1471</v>
      </c>
      <c r="B164" t="s">
        <v>380</v>
      </c>
      <c r="C164">
        <v>1</v>
      </c>
    </row>
    <row r="165" spans="1:3" x14ac:dyDescent="0.25">
      <c r="A165" t="s">
        <v>1472</v>
      </c>
      <c r="B165" t="s">
        <v>381</v>
      </c>
      <c r="C165">
        <v>1</v>
      </c>
    </row>
    <row r="166" spans="1:3" x14ac:dyDescent="0.25">
      <c r="A166" t="s">
        <v>1473</v>
      </c>
      <c r="B166" t="s">
        <v>382</v>
      </c>
      <c r="C166">
        <v>1</v>
      </c>
    </row>
    <row r="167" spans="1:3" x14ac:dyDescent="0.25">
      <c r="A167" t="s">
        <v>1474</v>
      </c>
      <c r="B167" t="s">
        <v>383</v>
      </c>
      <c r="C167">
        <v>19</v>
      </c>
    </row>
    <row r="168" spans="1:3" x14ac:dyDescent="0.25">
      <c r="A168" t="s">
        <v>1475</v>
      </c>
      <c r="B168" t="s">
        <v>384</v>
      </c>
      <c r="C168">
        <v>7</v>
      </c>
    </row>
    <row r="169" spans="1:3" x14ac:dyDescent="0.25">
      <c r="A169" t="s">
        <v>1476</v>
      </c>
      <c r="B169" t="s">
        <v>385</v>
      </c>
      <c r="C169">
        <v>11</v>
      </c>
    </row>
    <row r="170" spans="1:3" x14ac:dyDescent="0.25">
      <c r="A170" t="s">
        <v>1477</v>
      </c>
      <c r="B170" t="s">
        <v>386</v>
      </c>
      <c r="C170">
        <v>7</v>
      </c>
    </row>
    <row r="171" spans="1:3" x14ac:dyDescent="0.25">
      <c r="A171" t="s">
        <v>1478</v>
      </c>
      <c r="B171" t="s">
        <v>387</v>
      </c>
      <c r="C171">
        <v>3</v>
      </c>
    </row>
    <row r="172" spans="1:3" x14ac:dyDescent="0.25">
      <c r="A172" t="s">
        <v>1479</v>
      </c>
      <c r="B172" t="s">
        <v>388</v>
      </c>
      <c r="C172">
        <v>6</v>
      </c>
    </row>
    <row r="173" spans="1:3" x14ac:dyDescent="0.25">
      <c r="A173" t="s">
        <v>1480</v>
      </c>
      <c r="B173" t="s">
        <v>389</v>
      </c>
      <c r="C173">
        <v>16</v>
      </c>
    </row>
    <row r="174" spans="1:3" x14ac:dyDescent="0.25">
      <c r="A174" t="s">
        <v>1481</v>
      </c>
      <c r="B174" t="s">
        <v>390</v>
      </c>
      <c r="C174">
        <v>3</v>
      </c>
    </row>
    <row r="175" spans="1:3" x14ac:dyDescent="0.25">
      <c r="A175" t="s">
        <v>1482</v>
      </c>
      <c r="B175" t="s">
        <v>391</v>
      </c>
      <c r="C175">
        <v>8</v>
      </c>
    </row>
    <row r="176" spans="1:3" x14ac:dyDescent="0.25">
      <c r="A176" t="s">
        <v>1483</v>
      </c>
      <c r="B176" t="s">
        <v>392</v>
      </c>
      <c r="C176">
        <v>2</v>
      </c>
    </row>
    <row r="177" spans="1:3" x14ac:dyDescent="0.25">
      <c r="A177" t="s">
        <v>1484</v>
      </c>
      <c r="B177" t="s">
        <v>393</v>
      </c>
      <c r="C177">
        <v>3</v>
      </c>
    </row>
    <row r="178" spans="1:3" x14ac:dyDescent="0.25">
      <c r="A178" t="s">
        <v>1485</v>
      </c>
      <c r="B178" t="s">
        <v>394</v>
      </c>
      <c r="C178">
        <v>2</v>
      </c>
    </row>
    <row r="179" spans="1:3" x14ac:dyDescent="0.25">
      <c r="A179" t="s">
        <v>1486</v>
      </c>
      <c r="B179" t="s">
        <v>395</v>
      </c>
      <c r="C179">
        <v>1</v>
      </c>
    </row>
    <row r="180" spans="1:3" x14ac:dyDescent="0.25">
      <c r="A180" t="s">
        <v>1487</v>
      </c>
      <c r="B180" t="s">
        <v>396</v>
      </c>
      <c r="C180">
        <v>4</v>
      </c>
    </row>
    <row r="181" spans="1:3" x14ac:dyDescent="0.25">
      <c r="A181" t="s">
        <v>1488</v>
      </c>
      <c r="B181" t="s">
        <v>397</v>
      </c>
      <c r="C181">
        <v>5</v>
      </c>
    </row>
    <row r="182" spans="1:3" x14ac:dyDescent="0.25">
      <c r="A182" t="s">
        <v>1489</v>
      </c>
      <c r="B182" t="s">
        <v>398</v>
      </c>
      <c r="C182">
        <v>4</v>
      </c>
    </row>
    <row r="183" spans="1:3" x14ac:dyDescent="0.25">
      <c r="A183" t="s">
        <v>1490</v>
      </c>
      <c r="B183" t="s">
        <v>399</v>
      </c>
      <c r="C183">
        <v>6</v>
      </c>
    </row>
    <row r="184" spans="1:3" x14ac:dyDescent="0.25">
      <c r="A184" t="s">
        <v>1491</v>
      </c>
      <c r="B184" t="s">
        <v>400</v>
      </c>
      <c r="C184">
        <v>0</v>
      </c>
    </row>
    <row r="185" spans="1:3" x14ac:dyDescent="0.25">
      <c r="A185" t="s">
        <v>1492</v>
      </c>
      <c r="B185" t="s">
        <v>401</v>
      </c>
      <c r="C185">
        <v>1</v>
      </c>
    </row>
    <row r="186" spans="1:3" x14ac:dyDescent="0.25">
      <c r="A186" t="s">
        <v>1493</v>
      </c>
      <c r="B186" t="s">
        <v>402</v>
      </c>
      <c r="C186">
        <v>2</v>
      </c>
    </row>
    <row r="187" spans="1:3" x14ac:dyDescent="0.25">
      <c r="A187" t="s">
        <v>1494</v>
      </c>
      <c r="B187" t="s">
        <v>403</v>
      </c>
      <c r="C187">
        <v>2</v>
      </c>
    </row>
    <row r="188" spans="1:3" x14ac:dyDescent="0.25">
      <c r="A188" t="s">
        <v>1495</v>
      </c>
      <c r="B188" t="s">
        <v>404</v>
      </c>
      <c r="C188">
        <v>1</v>
      </c>
    </row>
    <row r="189" spans="1:3" x14ac:dyDescent="0.25">
      <c r="A189" t="s">
        <v>1496</v>
      </c>
      <c r="B189" t="s">
        <v>405</v>
      </c>
      <c r="C189">
        <v>3</v>
      </c>
    </row>
    <row r="190" spans="1:3" x14ac:dyDescent="0.25">
      <c r="A190" t="s">
        <v>1497</v>
      </c>
      <c r="B190" t="s">
        <v>406</v>
      </c>
      <c r="C190">
        <v>1</v>
      </c>
    </row>
    <row r="191" spans="1:3" x14ac:dyDescent="0.25">
      <c r="A191" t="s">
        <v>1498</v>
      </c>
      <c r="B191" t="s">
        <v>407</v>
      </c>
      <c r="C191">
        <v>1</v>
      </c>
    </row>
    <row r="192" spans="1:3" x14ac:dyDescent="0.25">
      <c r="A192" t="s">
        <v>1499</v>
      </c>
      <c r="B192" t="s">
        <v>408</v>
      </c>
      <c r="C192">
        <v>5</v>
      </c>
    </row>
    <row r="193" spans="1:3" x14ac:dyDescent="0.25">
      <c r="A193" t="s">
        <v>1500</v>
      </c>
      <c r="B193" t="s">
        <v>409</v>
      </c>
      <c r="C193">
        <v>40</v>
      </c>
    </row>
    <row r="194" spans="1:3" x14ac:dyDescent="0.25">
      <c r="A194" t="s">
        <v>1501</v>
      </c>
      <c r="B194" t="s">
        <v>410</v>
      </c>
      <c r="C194">
        <v>1</v>
      </c>
    </row>
    <row r="195" spans="1:3" x14ac:dyDescent="0.25">
      <c r="A195" t="s">
        <v>1502</v>
      </c>
      <c r="B195" t="s">
        <v>411</v>
      </c>
      <c r="C195">
        <v>2</v>
      </c>
    </row>
    <row r="196" spans="1:3" x14ac:dyDescent="0.25">
      <c r="A196" t="s">
        <v>1503</v>
      </c>
      <c r="B196" t="s">
        <v>412</v>
      </c>
      <c r="C196">
        <v>1</v>
      </c>
    </row>
    <row r="197" spans="1:3" x14ac:dyDescent="0.25">
      <c r="A197" t="s">
        <v>1504</v>
      </c>
      <c r="B197" t="s">
        <v>413</v>
      </c>
      <c r="C197">
        <v>8</v>
      </c>
    </row>
    <row r="198" spans="1:3" x14ac:dyDescent="0.25">
      <c r="A198" t="s">
        <v>1505</v>
      </c>
      <c r="B198" t="s">
        <v>414</v>
      </c>
      <c r="C198">
        <v>1</v>
      </c>
    </row>
    <row r="199" spans="1:3" x14ac:dyDescent="0.25">
      <c r="A199" t="s">
        <v>1506</v>
      </c>
      <c r="B199" t="s">
        <v>415</v>
      </c>
      <c r="C199">
        <v>4</v>
      </c>
    </row>
    <row r="200" spans="1:3" x14ac:dyDescent="0.25">
      <c r="A200" t="s">
        <v>1507</v>
      </c>
      <c r="B200" t="s">
        <v>416</v>
      </c>
      <c r="C200">
        <v>7</v>
      </c>
    </row>
    <row r="201" spans="1:3" x14ac:dyDescent="0.25">
      <c r="A201" t="s">
        <v>1508</v>
      </c>
      <c r="B201" t="s">
        <v>417</v>
      </c>
      <c r="C201">
        <v>22</v>
      </c>
    </row>
    <row r="202" spans="1:3" x14ac:dyDescent="0.25">
      <c r="A202" t="s">
        <v>1509</v>
      </c>
      <c r="B202" t="s">
        <v>418</v>
      </c>
      <c r="C202">
        <v>10</v>
      </c>
    </row>
    <row r="203" spans="1:3" x14ac:dyDescent="0.25">
      <c r="A203" t="s">
        <v>1510</v>
      </c>
      <c r="B203" t="s">
        <v>419</v>
      </c>
      <c r="C203">
        <v>3</v>
      </c>
    </row>
    <row r="204" spans="1:3" x14ac:dyDescent="0.25">
      <c r="A204" t="s">
        <v>1511</v>
      </c>
      <c r="B204" t="s">
        <v>420</v>
      </c>
      <c r="C204">
        <v>0</v>
      </c>
    </row>
    <row r="205" spans="1:3" x14ac:dyDescent="0.25">
      <c r="A205" t="s">
        <v>1512</v>
      </c>
      <c r="B205" t="s">
        <v>421</v>
      </c>
      <c r="C205">
        <v>1</v>
      </c>
    </row>
    <row r="206" spans="1:3" x14ac:dyDescent="0.25">
      <c r="A206" t="s">
        <v>1513</v>
      </c>
      <c r="B206" t="s">
        <v>422</v>
      </c>
      <c r="C206">
        <v>1</v>
      </c>
    </row>
    <row r="207" spans="1:3" x14ac:dyDescent="0.25">
      <c r="A207" t="s">
        <v>1514</v>
      </c>
      <c r="B207" t="s">
        <v>423</v>
      </c>
      <c r="C207">
        <v>1</v>
      </c>
    </row>
    <row r="208" spans="1:3" x14ac:dyDescent="0.25">
      <c r="A208" t="s">
        <v>1515</v>
      </c>
      <c r="B208" t="s">
        <v>424</v>
      </c>
      <c r="C208">
        <v>13</v>
      </c>
    </row>
    <row r="209" spans="1:3" x14ac:dyDescent="0.25">
      <c r="A209" t="s">
        <v>1516</v>
      </c>
      <c r="B209" t="s">
        <v>425</v>
      </c>
      <c r="C209">
        <v>8</v>
      </c>
    </row>
    <row r="210" spans="1:3" x14ac:dyDescent="0.25">
      <c r="A210" t="s">
        <v>1517</v>
      </c>
      <c r="B210" t="s">
        <v>426</v>
      </c>
      <c r="C210">
        <v>6</v>
      </c>
    </row>
    <row r="211" spans="1:3" x14ac:dyDescent="0.25">
      <c r="A211" t="s">
        <v>1518</v>
      </c>
      <c r="B211" t="s">
        <v>427</v>
      </c>
      <c r="C211">
        <v>3</v>
      </c>
    </row>
    <row r="212" spans="1:3" x14ac:dyDescent="0.25">
      <c r="A212" t="s">
        <v>1519</v>
      </c>
      <c r="B212" t="s">
        <v>428</v>
      </c>
      <c r="C212">
        <v>5</v>
      </c>
    </row>
    <row r="213" spans="1:3" x14ac:dyDescent="0.25">
      <c r="A213" t="s">
        <v>1520</v>
      </c>
      <c r="B213" t="s">
        <v>429</v>
      </c>
      <c r="C213">
        <v>6</v>
      </c>
    </row>
    <row r="214" spans="1:3" x14ac:dyDescent="0.25">
      <c r="A214" t="s">
        <v>1521</v>
      </c>
      <c r="B214" t="s">
        <v>430</v>
      </c>
      <c r="C214">
        <v>1</v>
      </c>
    </row>
    <row r="215" spans="1:3" x14ac:dyDescent="0.25">
      <c r="A215" t="s">
        <v>1522</v>
      </c>
      <c r="B215" t="s">
        <v>431</v>
      </c>
      <c r="C215">
        <v>5</v>
      </c>
    </row>
    <row r="216" spans="1:3" x14ac:dyDescent="0.25">
      <c r="A216" t="s">
        <v>1523</v>
      </c>
      <c r="B216" t="s">
        <v>432</v>
      </c>
      <c r="C216">
        <v>5</v>
      </c>
    </row>
    <row r="217" spans="1:3" x14ac:dyDescent="0.25">
      <c r="A217" t="s">
        <v>1524</v>
      </c>
      <c r="B217" t="s">
        <v>433</v>
      </c>
      <c r="C217">
        <v>0</v>
      </c>
    </row>
    <row r="218" spans="1:3" x14ac:dyDescent="0.25">
      <c r="A218" t="s">
        <v>1525</v>
      </c>
      <c r="B218" t="s">
        <v>434</v>
      </c>
      <c r="C218">
        <v>0</v>
      </c>
    </row>
    <row r="219" spans="1:3" x14ac:dyDescent="0.25">
      <c r="A219" t="s">
        <v>1526</v>
      </c>
      <c r="B219" t="s">
        <v>435</v>
      </c>
      <c r="C219">
        <v>5</v>
      </c>
    </row>
    <row r="220" spans="1:3" x14ac:dyDescent="0.25">
      <c r="A220" t="s">
        <v>1527</v>
      </c>
      <c r="B220" t="s">
        <v>436</v>
      </c>
      <c r="C220">
        <v>4</v>
      </c>
    </row>
    <row r="221" spans="1:3" x14ac:dyDescent="0.25">
      <c r="A221" t="s">
        <v>1528</v>
      </c>
      <c r="B221" t="s">
        <v>437</v>
      </c>
      <c r="C221">
        <v>1</v>
      </c>
    </row>
    <row r="222" spans="1:3" x14ac:dyDescent="0.25">
      <c r="A222" t="s">
        <v>1529</v>
      </c>
      <c r="B222" t="s">
        <v>438</v>
      </c>
      <c r="C222">
        <v>1</v>
      </c>
    </row>
    <row r="223" spans="1:3" x14ac:dyDescent="0.25">
      <c r="A223" t="s">
        <v>1530</v>
      </c>
      <c r="B223" t="s">
        <v>439</v>
      </c>
      <c r="C223">
        <v>3</v>
      </c>
    </row>
    <row r="224" spans="1:3" x14ac:dyDescent="0.25">
      <c r="A224" t="s">
        <v>1531</v>
      </c>
      <c r="B224" t="s">
        <v>440</v>
      </c>
      <c r="C224">
        <v>37</v>
      </c>
    </row>
    <row r="225" spans="1:3" x14ac:dyDescent="0.25">
      <c r="A225" t="s">
        <v>1532</v>
      </c>
      <c r="B225" t="s">
        <v>441</v>
      </c>
      <c r="C225">
        <v>7</v>
      </c>
    </row>
    <row r="226" spans="1:3" x14ac:dyDescent="0.25">
      <c r="A226" t="s">
        <v>1533</v>
      </c>
      <c r="B226" t="s">
        <v>442</v>
      </c>
      <c r="C226">
        <v>19</v>
      </c>
    </row>
    <row r="227" spans="1:3" x14ac:dyDescent="0.25">
      <c r="A227" t="s">
        <v>1534</v>
      </c>
      <c r="B227" t="s">
        <v>443</v>
      </c>
      <c r="C227">
        <v>7</v>
      </c>
    </row>
    <row r="228" spans="1:3" x14ac:dyDescent="0.25">
      <c r="A228" t="s">
        <v>1535</v>
      </c>
      <c r="B228" t="s">
        <v>444</v>
      </c>
      <c r="C228">
        <v>10</v>
      </c>
    </row>
    <row r="229" spans="1:3" x14ac:dyDescent="0.25">
      <c r="A229" t="s">
        <v>1536</v>
      </c>
      <c r="B229" t="s">
        <v>445</v>
      </c>
      <c r="C229">
        <v>5</v>
      </c>
    </row>
    <row r="230" spans="1:3" x14ac:dyDescent="0.25">
      <c r="A230" t="s">
        <v>1537</v>
      </c>
      <c r="B230" t="s">
        <v>446</v>
      </c>
      <c r="C230">
        <v>2</v>
      </c>
    </row>
    <row r="231" spans="1:3" x14ac:dyDescent="0.25">
      <c r="A231" t="s">
        <v>1538</v>
      </c>
      <c r="B231" t="s">
        <v>447</v>
      </c>
      <c r="C231">
        <v>1</v>
      </c>
    </row>
    <row r="232" spans="1:3" x14ac:dyDescent="0.25">
      <c r="A232" t="s">
        <v>1539</v>
      </c>
      <c r="B232" t="s">
        <v>448</v>
      </c>
      <c r="C232">
        <v>2</v>
      </c>
    </row>
    <row r="233" spans="1:3" x14ac:dyDescent="0.25">
      <c r="A233" t="s">
        <v>1540</v>
      </c>
      <c r="B233" t="s">
        <v>449</v>
      </c>
      <c r="C233">
        <v>25</v>
      </c>
    </row>
    <row r="234" spans="1:3" x14ac:dyDescent="0.25">
      <c r="A234" t="s">
        <v>1541</v>
      </c>
      <c r="B234" t="s">
        <v>450</v>
      </c>
      <c r="C234">
        <v>1</v>
      </c>
    </row>
    <row r="235" spans="1:3" x14ac:dyDescent="0.25">
      <c r="A235" t="s">
        <v>1542</v>
      </c>
      <c r="B235" t="s">
        <v>451</v>
      </c>
      <c r="C235">
        <v>4</v>
      </c>
    </row>
    <row r="236" spans="1:3" x14ac:dyDescent="0.25">
      <c r="A236" t="s">
        <v>1543</v>
      </c>
      <c r="B236" t="s">
        <v>452</v>
      </c>
      <c r="C236">
        <v>2</v>
      </c>
    </row>
    <row r="237" spans="1:3" x14ac:dyDescent="0.25">
      <c r="A237" t="s">
        <v>1544</v>
      </c>
      <c r="B237" t="s">
        <v>453</v>
      </c>
      <c r="C237">
        <v>1</v>
      </c>
    </row>
    <row r="238" spans="1:3" x14ac:dyDescent="0.25">
      <c r="A238" t="s">
        <v>1545</v>
      </c>
      <c r="B238" t="s">
        <v>454</v>
      </c>
      <c r="C238">
        <v>1</v>
      </c>
    </row>
    <row r="239" spans="1:3" x14ac:dyDescent="0.25">
      <c r="A239" t="s">
        <v>1546</v>
      </c>
      <c r="B239" t="s">
        <v>455</v>
      </c>
      <c r="C239">
        <v>3</v>
      </c>
    </row>
    <row r="240" spans="1:3" x14ac:dyDescent="0.25">
      <c r="A240" t="s">
        <v>1547</v>
      </c>
      <c r="B240" t="s">
        <v>456</v>
      </c>
      <c r="C240">
        <v>2</v>
      </c>
    </row>
    <row r="241" spans="1:3" x14ac:dyDescent="0.25">
      <c r="A241" t="s">
        <v>1548</v>
      </c>
      <c r="B241" t="s">
        <v>457</v>
      </c>
      <c r="C241">
        <v>2</v>
      </c>
    </row>
    <row r="242" spans="1:3" x14ac:dyDescent="0.25">
      <c r="A242" t="s">
        <v>1549</v>
      </c>
      <c r="B242" t="s">
        <v>458</v>
      </c>
      <c r="C242">
        <v>3</v>
      </c>
    </row>
    <row r="243" spans="1:3" x14ac:dyDescent="0.25">
      <c r="A243" t="s">
        <v>1550</v>
      </c>
      <c r="B243" t="s">
        <v>459</v>
      </c>
      <c r="C243">
        <v>6</v>
      </c>
    </row>
    <row r="244" spans="1:3" x14ac:dyDescent="0.25">
      <c r="A244" t="s">
        <v>1551</v>
      </c>
      <c r="B244" t="s">
        <v>460</v>
      </c>
      <c r="C244">
        <v>17</v>
      </c>
    </row>
    <row r="245" spans="1:3" x14ac:dyDescent="0.25">
      <c r="A245" t="s">
        <v>1552</v>
      </c>
      <c r="B245" t="s">
        <v>461</v>
      </c>
      <c r="C245">
        <v>6</v>
      </c>
    </row>
    <row r="246" spans="1:3" x14ac:dyDescent="0.25">
      <c r="A246" t="s">
        <v>1553</v>
      </c>
      <c r="B246" t="s">
        <v>462</v>
      </c>
      <c r="C246">
        <v>1</v>
      </c>
    </row>
    <row r="247" spans="1:3" x14ac:dyDescent="0.25">
      <c r="A247" t="s">
        <v>1554</v>
      </c>
      <c r="B247" t="s">
        <v>463</v>
      </c>
      <c r="C247">
        <v>4</v>
      </c>
    </row>
    <row r="248" spans="1:3" x14ac:dyDescent="0.25">
      <c r="A248" t="s">
        <v>1555</v>
      </c>
      <c r="B248" t="s">
        <v>464</v>
      </c>
      <c r="C248">
        <v>3</v>
      </c>
    </row>
    <row r="249" spans="1:3" x14ac:dyDescent="0.25">
      <c r="A249" t="s">
        <v>1556</v>
      </c>
      <c r="B249" t="s">
        <v>465</v>
      </c>
      <c r="C249">
        <v>1</v>
      </c>
    </row>
    <row r="250" spans="1:3" x14ac:dyDescent="0.25">
      <c r="A250" t="s">
        <v>1557</v>
      </c>
      <c r="B250" t="s">
        <v>466</v>
      </c>
      <c r="C250">
        <v>2</v>
      </c>
    </row>
    <row r="251" spans="1:3" x14ac:dyDescent="0.25">
      <c r="A251" t="s">
        <v>1558</v>
      </c>
      <c r="B251" t="s">
        <v>467</v>
      </c>
      <c r="C251">
        <v>7</v>
      </c>
    </row>
    <row r="252" spans="1:3" x14ac:dyDescent="0.25">
      <c r="A252" t="s">
        <v>1559</v>
      </c>
      <c r="B252" t="s">
        <v>468</v>
      </c>
      <c r="C252">
        <v>2</v>
      </c>
    </row>
    <row r="253" spans="1:3" x14ac:dyDescent="0.25">
      <c r="A253" t="s">
        <v>1560</v>
      </c>
      <c r="B253" t="s">
        <v>469</v>
      </c>
      <c r="C253">
        <v>31</v>
      </c>
    </row>
    <row r="254" spans="1:3" x14ac:dyDescent="0.25">
      <c r="A254" t="s">
        <v>1561</v>
      </c>
      <c r="B254" t="s">
        <v>470</v>
      </c>
      <c r="C254">
        <v>5</v>
      </c>
    </row>
    <row r="255" spans="1:3" x14ac:dyDescent="0.25">
      <c r="A255" t="s">
        <v>1562</v>
      </c>
      <c r="B255" t="s">
        <v>471</v>
      </c>
      <c r="C255">
        <v>9</v>
      </c>
    </row>
    <row r="256" spans="1:3" x14ac:dyDescent="0.25">
      <c r="A256" t="s">
        <v>1563</v>
      </c>
      <c r="B256" t="s">
        <v>472</v>
      </c>
      <c r="C256">
        <v>14</v>
      </c>
    </row>
    <row r="257" spans="1:3" x14ac:dyDescent="0.25">
      <c r="A257" t="s">
        <v>1564</v>
      </c>
      <c r="B257" t="s">
        <v>473</v>
      </c>
      <c r="C257">
        <v>1</v>
      </c>
    </row>
    <row r="258" spans="1:3" x14ac:dyDescent="0.25">
      <c r="A258" t="s">
        <v>1565</v>
      </c>
      <c r="B258" t="s">
        <v>474</v>
      </c>
      <c r="C258">
        <v>4</v>
      </c>
    </row>
    <row r="259" spans="1:3" x14ac:dyDescent="0.25">
      <c r="A259" t="s">
        <v>1566</v>
      </c>
      <c r="B259" t="s">
        <v>475</v>
      </c>
      <c r="C259">
        <v>84</v>
      </c>
    </row>
    <row r="260" spans="1:3" x14ac:dyDescent="0.25">
      <c r="A260" t="s">
        <v>1567</v>
      </c>
      <c r="B260" t="s">
        <v>476</v>
      </c>
      <c r="C260">
        <v>7</v>
      </c>
    </row>
    <row r="261" spans="1:3" x14ac:dyDescent="0.25">
      <c r="A261" t="s">
        <v>1568</v>
      </c>
      <c r="B261" t="s">
        <v>477</v>
      </c>
      <c r="C261">
        <v>3</v>
      </c>
    </row>
    <row r="262" spans="1:3" x14ac:dyDescent="0.25">
      <c r="A262" t="s">
        <v>1569</v>
      </c>
      <c r="B262" t="s">
        <v>478</v>
      </c>
      <c r="C262">
        <v>12</v>
      </c>
    </row>
    <row r="263" spans="1:3" x14ac:dyDescent="0.25">
      <c r="A263" t="s">
        <v>1570</v>
      </c>
      <c r="B263" t="s">
        <v>479</v>
      </c>
      <c r="C263">
        <v>7</v>
      </c>
    </row>
    <row r="264" spans="1:3" x14ac:dyDescent="0.25">
      <c r="A264" t="s">
        <v>1571</v>
      </c>
      <c r="B264" t="s">
        <v>480</v>
      </c>
      <c r="C264">
        <v>1</v>
      </c>
    </row>
    <row r="265" spans="1:3" x14ac:dyDescent="0.25">
      <c r="A265" t="s">
        <v>1572</v>
      </c>
      <c r="B265" t="s">
        <v>481</v>
      </c>
      <c r="C265">
        <v>1</v>
      </c>
    </row>
    <row r="266" spans="1:3" x14ac:dyDescent="0.25">
      <c r="A266" t="s">
        <v>1573</v>
      </c>
      <c r="B266" t="s">
        <v>482</v>
      </c>
      <c r="C266">
        <v>3</v>
      </c>
    </row>
    <row r="267" spans="1:3" x14ac:dyDescent="0.25">
      <c r="A267" t="s">
        <v>1574</v>
      </c>
      <c r="B267" t="s">
        <v>483</v>
      </c>
      <c r="C267">
        <v>12</v>
      </c>
    </row>
    <row r="268" spans="1:3" x14ac:dyDescent="0.25">
      <c r="A268" t="s">
        <v>1575</v>
      </c>
      <c r="B268" t="s">
        <v>484</v>
      </c>
      <c r="C268">
        <v>1</v>
      </c>
    </row>
    <row r="269" spans="1:3" x14ac:dyDescent="0.25">
      <c r="A269" t="s">
        <v>1576</v>
      </c>
      <c r="B269" t="s">
        <v>485</v>
      </c>
      <c r="C269">
        <v>3</v>
      </c>
    </row>
    <row r="270" spans="1:3" x14ac:dyDescent="0.25">
      <c r="A270" t="s">
        <v>1577</v>
      </c>
      <c r="B270" t="s">
        <v>486</v>
      </c>
      <c r="C270">
        <v>4</v>
      </c>
    </row>
    <row r="271" spans="1:3" x14ac:dyDescent="0.25">
      <c r="A271" t="s">
        <v>1578</v>
      </c>
      <c r="B271" t="s">
        <v>487</v>
      </c>
      <c r="C271">
        <v>7</v>
      </c>
    </row>
    <row r="272" spans="1:3" x14ac:dyDescent="0.25">
      <c r="A272" t="s">
        <v>1579</v>
      </c>
      <c r="B272" t="s">
        <v>488</v>
      </c>
      <c r="C272">
        <v>2</v>
      </c>
    </row>
    <row r="273" spans="1:3" x14ac:dyDescent="0.25">
      <c r="A273" t="s">
        <v>1580</v>
      </c>
      <c r="B273" t="s">
        <v>489</v>
      </c>
      <c r="C273">
        <v>9</v>
      </c>
    </row>
    <row r="274" spans="1:3" x14ac:dyDescent="0.25">
      <c r="A274" t="s">
        <v>1581</v>
      </c>
      <c r="B274" t="s">
        <v>490</v>
      </c>
      <c r="C274">
        <v>10</v>
      </c>
    </row>
    <row r="275" spans="1:3" x14ac:dyDescent="0.25">
      <c r="A275" t="s">
        <v>1582</v>
      </c>
      <c r="B275" t="s">
        <v>491</v>
      </c>
      <c r="C275">
        <v>7</v>
      </c>
    </row>
    <row r="276" spans="1:3" x14ac:dyDescent="0.25">
      <c r="A276" t="s">
        <v>1583</v>
      </c>
      <c r="B276" t="s">
        <v>492</v>
      </c>
      <c r="C276">
        <v>13</v>
      </c>
    </row>
    <row r="277" spans="1:3" x14ac:dyDescent="0.25">
      <c r="A277" t="s">
        <v>1584</v>
      </c>
      <c r="B277" t="s">
        <v>493</v>
      </c>
      <c r="C277">
        <v>4</v>
      </c>
    </row>
    <row r="278" spans="1:3" x14ac:dyDescent="0.25">
      <c r="A278" t="s">
        <v>1585</v>
      </c>
      <c r="B278" t="s">
        <v>494</v>
      </c>
      <c r="C278">
        <v>1</v>
      </c>
    </row>
    <row r="279" spans="1:3" x14ac:dyDescent="0.25">
      <c r="A279" t="s">
        <v>1586</v>
      </c>
      <c r="B279" t="s">
        <v>495</v>
      </c>
      <c r="C279">
        <v>4</v>
      </c>
    </row>
    <row r="280" spans="1:3" x14ac:dyDescent="0.25">
      <c r="A280" t="s">
        <v>1587</v>
      </c>
      <c r="B280" t="s">
        <v>496</v>
      </c>
      <c r="C280">
        <v>10</v>
      </c>
    </row>
    <row r="281" spans="1:3" x14ac:dyDescent="0.25">
      <c r="A281" t="s">
        <v>1588</v>
      </c>
      <c r="B281" t="s">
        <v>497</v>
      </c>
      <c r="C281">
        <v>2</v>
      </c>
    </row>
    <row r="282" spans="1:3" x14ac:dyDescent="0.25">
      <c r="A282" t="s">
        <v>1589</v>
      </c>
      <c r="B282" t="s">
        <v>498</v>
      </c>
      <c r="C282">
        <v>15</v>
      </c>
    </row>
    <row r="283" spans="1:3" x14ac:dyDescent="0.25">
      <c r="A283" t="s">
        <v>1590</v>
      </c>
      <c r="B283" t="s">
        <v>499</v>
      </c>
      <c r="C283">
        <v>3</v>
      </c>
    </row>
    <row r="284" spans="1:3" x14ac:dyDescent="0.25">
      <c r="A284" t="s">
        <v>1591</v>
      </c>
      <c r="B284" t="s">
        <v>500</v>
      </c>
      <c r="C284">
        <v>5</v>
      </c>
    </row>
    <row r="285" spans="1:3" x14ac:dyDescent="0.25">
      <c r="A285" t="s">
        <v>1592</v>
      </c>
      <c r="B285" t="s">
        <v>486</v>
      </c>
      <c r="C285">
        <v>5</v>
      </c>
    </row>
    <row r="286" spans="1:3" x14ac:dyDescent="0.25">
      <c r="A286" t="s">
        <v>1593</v>
      </c>
      <c r="B286" t="s">
        <v>501</v>
      </c>
      <c r="C286">
        <v>4</v>
      </c>
    </row>
    <row r="287" spans="1:3" x14ac:dyDescent="0.25">
      <c r="A287" t="s">
        <v>1594</v>
      </c>
      <c r="B287" t="s">
        <v>502</v>
      </c>
      <c r="C287">
        <v>2</v>
      </c>
    </row>
    <row r="288" spans="1:3" x14ac:dyDescent="0.25">
      <c r="A288" t="s">
        <v>1595</v>
      </c>
      <c r="B288" t="s">
        <v>503</v>
      </c>
      <c r="C288">
        <v>9</v>
      </c>
    </row>
    <row r="289" spans="1:3" x14ac:dyDescent="0.25">
      <c r="A289" t="s">
        <v>1596</v>
      </c>
      <c r="B289" t="s">
        <v>504</v>
      </c>
      <c r="C289">
        <v>6</v>
      </c>
    </row>
    <row r="290" spans="1:3" x14ac:dyDescent="0.25">
      <c r="A290" t="s">
        <v>1597</v>
      </c>
      <c r="B290" t="s">
        <v>505</v>
      </c>
      <c r="C290">
        <v>3</v>
      </c>
    </row>
    <row r="291" spans="1:3" x14ac:dyDescent="0.25">
      <c r="A291" t="s">
        <v>1598</v>
      </c>
      <c r="B291" t="s">
        <v>506</v>
      </c>
      <c r="C291">
        <v>1</v>
      </c>
    </row>
    <row r="292" spans="1:3" x14ac:dyDescent="0.25">
      <c r="A292" t="s">
        <v>1599</v>
      </c>
      <c r="B292" t="s">
        <v>507</v>
      </c>
      <c r="C292">
        <v>1</v>
      </c>
    </row>
    <row r="293" spans="1:3" x14ac:dyDescent="0.25">
      <c r="A293" t="s">
        <v>1600</v>
      </c>
      <c r="B293" t="s">
        <v>508</v>
      </c>
      <c r="C293">
        <v>2</v>
      </c>
    </row>
    <row r="294" spans="1:3" x14ac:dyDescent="0.25">
      <c r="A294" t="s">
        <v>1601</v>
      </c>
      <c r="B294" t="s">
        <v>509</v>
      </c>
      <c r="C294">
        <v>2</v>
      </c>
    </row>
    <row r="295" spans="1:3" x14ac:dyDescent="0.25">
      <c r="A295" t="s">
        <v>1602</v>
      </c>
      <c r="B295" t="s">
        <v>510</v>
      </c>
      <c r="C295">
        <v>2</v>
      </c>
    </row>
    <row r="296" spans="1:3" x14ac:dyDescent="0.25">
      <c r="A296" t="s">
        <v>1603</v>
      </c>
      <c r="B296" t="s">
        <v>511</v>
      </c>
      <c r="C296">
        <v>12</v>
      </c>
    </row>
    <row r="297" spans="1:3" x14ac:dyDescent="0.25">
      <c r="A297" t="s">
        <v>1604</v>
      </c>
      <c r="B297" t="s">
        <v>502</v>
      </c>
      <c r="C297">
        <v>1</v>
      </c>
    </row>
    <row r="298" spans="1:3" x14ac:dyDescent="0.25">
      <c r="A298" t="s">
        <v>1605</v>
      </c>
      <c r="B298" t="s">
        <v>512</v>
      </c>
      <c r="C298">
        <v>4</v>
      </c>
    </row>
    <row r="299" spans="1:3" x14ac:dyDescent="0.25">
      <c r="A299" t="s">
        <v>1606</v>
      </c>
      <c r="B299" t="s">
        <v>513</v>
      </c>
      <c r="C299">
        <v>2</v>
      </c>
    </row>
    <row r="300" spans="1:3" x14ac:dyDescent="0.25">
      <c r="A300" t="s">
        <v>1607</v>
      </c>
      <c r="B300" t="s">
        <v>514</v>
      </c>
      <c r="C300">
        <v>4</v>
      </c>
    </row>
    <row r="301" spans="1:3" x14ac:dyDescent="0.25">
      <c r="A301" t="s">
        <v>1608</v>
      </c>
      <c r="B301" t="s">
        <v>515</v>
      </c>
      <c r="C301">
        <v>1</v>
      </c>
    </row>
    <row r="302" spans="1:3" x14ac:dyDescent="0.25">
      <c r="A302" t="s">
        <v>1609</v>
      </c>
      <c r="B302" t="s">
        <v>516</v>
      </c>
      <c r="C302">
        <v>2</v>
      </c>
    </row>
    <row r="303" spans="1:3" x14ac:dyDescent="0.25">
      <c r="A303" t="s">
        <v>1610</v>
      </c>
      <c r="B303" t="s">
        <v>517</v>
      </c>
      <c r="C303">
        <v>2</v>
      </c>
    </row>
    <row r="304" spans="1:3" x14ac:dyDescent="0.25">
      <c r="A304" t="s">
        <v>1611</v>
      </c>
      <c r="B304" t="s">
        <v>518</v>
      </c>
      <c r="C304">
        <v>3</v>
      </c>
    </row>
    <row r="305" spans="1:3" x14ac:dyDescent="0.25">
      <c r="A305" t="s">
        <v>1612</v>
      </c>
      <c r="B305" t="s">
        <v>519</v>
      </c>
      <c r="C305">
        <v>8</v>
      </c>
    </row>
    <row r="306" spans="1:3" x14ac:dyDescent="0.25">
      <c r="A306" t="s">
        <v>1613</v>
      </c>
      <c r="B306" t="s">
        <v>520</v>
      </c>
      <c r="C306">
        <v>5</v>
      </c>
    </row>
    <row r="307" spans="1:3" x14ac:dyDescent="0.25">
      <c r="A307" t="s">
        <v>1614</v>
      </c>
      <c r="B307" t="s">
        <v>521</v>
      </c>
      <c r="C307">
        <v>1</v>
      </c>
    </row>
    <row r="308" spans="1:3" x14ac:dyDescent="0.25">
      <c r="A308" t="s">
        <v>1615</v>
      </c>
      <c r="B308" t="s">
        <v>522</v>
      </c>
      <c r="C308">
        <v>4</v>
      </c>
    </row>
    <row r="309" spans="1:3" x14ac:dyDescent="0.25">
      <c r="A309" t="s">
        <v>1616</v>
      </c>
      <c r="B309" t="s">
        <v>523</v>
      </c>
      <c r="C309">
        <v>1</v>
      </c>
    </row>
    <row r="310" spans="1:3" x14ac:dyDescent="0.25">
      <c r="A310" t="s">
        <v>1617</v>
      </c>
      <c r="B310" t="s">
        <v>524</v>
      </c>
      <c r="C310">
        <v>1</v>
      </c>
    </row>
    <row r="311" spans="1:3" x14ac:dyDescent="0.25">
      <c r="A311" t="s">
        <v>1618</v>
      </c>
      <c r="B311" t="s">
        <v>525</v>
      </c>
      <c r="C311">
        <v>1</v>
      </c>
    </row>
    <row r="312" spans="1:3" x14ac:dyDescent="0.25">
      <c r="A312" t="s">
        <v>1619</v>
      </c>
      <c r="B312" t="s">
        <v>526</v>
      </c>
      <c r="C312">
        <v>1</v>
      </c>
    </row>
    <row r="313" spans="1:3" x14ac:dyDescent="0.25">
      <c r="A313" t="s">
        <v>1620</v>
      </c>
      <c r="B313" t="s">
        <v>527</v>
      </c>
      <c r="C313">
        <v>26</v>
      </c>
    </row>
    <row r="314" spans="1:3" x14ac:dyDescent="0.25">
      <c r="A314" t="s">
        <v>1621</v>
      </c>
      <c r="B314" t="s">
        <v>528</v>
      </c>
      <c r="C314">
        <v>2</v>
      </c>
    </row>
    <row r="315" spans="1:3" x14ac:dyDescent="0.25">
      <c r="A315" t="s">
        <v>1622</v>
      </c>
      <c r="B315" t="s">
        <v>529</v>
      </c>
      <c r="C315">
        <v>2</v>
      </c>
    </row>
    <row r="316" spans="1:3" x14ac:dyDescent="0.25">
      <c r="A316" t="s">
        <v>1623</v>
      </c>
      <c r="B316" t="s">
        <v>530</v>
      </c>
      <c r="C316">
        <v>1</v>
      </c>
    </row>
    <row r="317" spans="1:3" x14ac:dyDescent="0.25">
      <c r="A317" t="s">
        <v>1624</v>
      </c>
      <c r="B317" t="s">
        <v>531</v>
      </c>
      <c r="C317">
        <v>1</v>
      </c>
    </row>
    <row r="318" spans="1:3" x14ac:dyDescent="0.25">
      <c r="A318" t="s">
        <v>1625</v>
      </c>
      <c r="B318" t="s">
        <v>532</v>
      </c>
      <c r="C318">
        <v>1</v>
      </c>
    </row>
    <row r="319" spans="1:3" x14ac:dyDescent="0.25">
      <c r="A319" t="s">
        <v>1626</v>
      </c>
      <c r="B319" t="s">
        <v>533</v>
      </c>
      <c r="C319">
        <v>1</v>
      </c>
    </row>
    <row r="320" spans="1:3" x14ac:dyDescent="0.25">
      <c r="A320" t="s">
        <v>1627</v>
      </c>
      <c r="B320" t="s">
        <v>527</v>
      </c>
      <c r="C320">
        <v>1</v>
      </c>
    </row>
    <row r="321" spans="1:3" x14ac:dyDescent="0.25">
      <c r="A321" t="s">
        <v>1628</v>
      </c>
      <c r="B321" t="s">
        <v>534</v>
      </c>
      <c r="C321">
        <v>1</v>
      </c>
    </row>
    <row r="322" spans="1:3" x14ac:dyDescent="0.25">
      <c r="A322" t="s">
        <v>1629</v>
      </c>
      <c r="B322" t="s">
        <v>535</v>
      </c>
      <c r="C322">
        <v>1</v>
      </c>
    </row>
    <row r="323" spans="1:3" x14ac:dyDescent="0.25">
      <c r="A323" t="s">
        <v>1630</v>
      </c>
      <c r="B323" t="s">
        <v>536</v>
      </c>
      <c r="C323">
        <v>1</v>
      </c>
    </row>
    <row r="324" spans="1:3" x14ac:dyDescent="0.25">
      <c r="A324" t="s">
        <v>1631</v>
      </c>
      <c r="B324" t="s">
        <v>537</v>
      </c>
      <c r="C324">
        <v>2</v>
      </c>
    </row>
    <row r="325" spans="1:3" x14ac:dyDescent="0.25">
      <c r="A325" t="s">
        <v>1632</v>
      </c>
      <c r="B325" t="s">
        <v>538</v>
      </c>
      <c r="C325">
        <v>2</v>
      </c>
    </row>
    <row r="326" spans="1:3" x14ac:dyDescent="0.25">
      <c r="A326" t="s">
        <v>1633</v>
      </c>
      <c r="B326" t="s">
        <v>539</v>
      </c>
      <c r="C326">
        <v>1</v>
      </c>
    </row>
    <row r="327" spans="1:3" x14ac:dyDescent="0.25">
      <c r="A327" t="s">
        <v>1634</v>
      </c>
      <c r="B327" t="s">
        <v>540</v>
      </c>
      <c r="C327">
        <v>1</v>
      </c>
    </row>
    <row r="328" spans="1:3" x14ac:dyDescent="0.25">
      <c r="A328" t="s">
        <v>1635</v>
      </c>
      <c r="B328" t="s">
        <v>541</v>
      </c>
      <c r="C328">
        <v>1</v>
      </c>
    </row>
    <row r="329" spans="1:3" x14ac:dyDescent="0.25">
      <c r="A329" t="s">
        <v>1636</v>
      </c>
      <c r="B329" t="s">
        <v>542</v>
      </c>
      <c r="C329">
        <v>1</v>
      </c>
    </row>
    <row r="330" spans="1:3" x14ac:dyDescent="0.25">
      <c r="A330" t="s">
        <v>1637</v>
      </c>
      <c r="B330" t="s">
        <v>543</v>
      </c>
      <c r="C330">
        <v>1</v>
      </c>
    </row>
    <row r="331" spans="1:3" x14ac:dyDescent="0.25">
      <c r="A331" t="s">
        <v>1638</v>
      </c>
      <c r="B331" t="s">
        <v>544</v>
      </c>
      <c r="C331">
        <v>2</v>
      </c>
    </row>
    <row r="332" spans="1:3" x14ac:dyDescent="0.25">
      <c r="A332" t="s">
        <v>1639</v>
      </c>
      <c r="B332" t="s">
        <v>545</v>
      </c>
      <c r="C332">
        <v>1</v>
      </c>
    </row>
    <row r="333" spans="1:3" x14ac:dyDescent="0.25">
      <c r="A333" t="s">
        <v>1640</v>
      </c>
      <c r="B333" t="s">
        <v>546</v>
      </c>
      <c r="C333">
        <v>2</v>
      </c>
    </row>
    <row r="334" spans="1:3" x14ac:dyDescent="0.25">
      <c r="A334" t="s">
        <v>1641</v>
      </c>
      <c r="B334" t="s">
        <v>547</v>
      </c>
      <c r="C334">
        <v>1</v>
      </c>
    </row>
    <row r="335" spans="1:3" x14ac:dyDescent="0.25">
      <c r="A335" t="s">
        <v>1642</v>
      </c>
      <c r="B335" t="s">
        <v>548</v>
      </c>
      <c r="C335">
        <v>1</v>
      </c>
    </row>
    <row r="336" spans="1:3" x14ac:dyDescent="0.25">
      <c r="A336" t="s">
        <v>1643</v>
      </c>
      <c r="B336" t="s">
        <v>549</v>
      </c>
      <c r="C336">
        <v>2</v>
      </c>
    </row>
    <row r="337" spans="1:3" x14ac:dyDescent="0.25">
      <c r="A337" t="s">
        <v>1644</v>
      </c>
      <c r="B337" t="s">
        <v>550</v>
      </c>
      <c r="C337">
        <v>1</v>
      </c>
    </row>
    <row r="338" spans="1:3" x14ac:dyDescent="0.25">
      <c r="A338" t="s">
        <v>1645</v>
      </c>
      <c r="B338" t="s">
        <v>551</v>
      </c>
      <c r="C338">
        <v>1</v>
      </c>
    </row>
    <row r="339" spans="1:3" x14ac:dyDescent="0.25">
      <c r="A339" t="s">
        <v>1646</v>
      </c>
      <c r="B339" t="s">
        <v>552</v>
      </c>
      <c r="C339">
        <v>1</v>
      </c>
    </row>
    <row r="340" spans="1:3" x14ac:dyDescent="0.25">
      <c r="A340" t="s">
        <v>1647</v>
      </c>
      <c r="B340" t="s">
        <v>553</v>
      </c>
      <c r="C340">
        <v>2</v>
      </c>
    </row>
    <row r="341" spans="1:3" x14ac:dyDescent="0.25">
      <c r="A341" t="s">
        <v>1648</v>
      </c>
      <c r="B341" t="s">
        <v>554</v>
      </c>
      <c r="C341">
        <v>1</v>
      </c>
    </row>
    <row r="342" spans="1:3" x14ac:dyDescent="0.25">
      <c r="A342" t="s">
        <v>1649</v>
      </c>
      <c r="B342" t="s">
        <v>555</v>
      </c>
      <c r="C342">
        <v>1</v>
      </c>
    </row>
    <row r="343" spans="1:3" x14ac:dyDescent="0.25">
      <c r="A343" t="s">
        <v>1650</v>
      </c>
      <c r="B343" t="s">
        <v>556</v>
      </c>
      <c r="C343">
        <v>1</v>
      </c>
    </row>
    <row r="344" spans="1:3" x14ac:dyDescent="0.25">
      <c r="A344" t="s">
        <v>1651</v>
      </c>
      <c r="B344" t="s">
        <v>557</v>
      </c>
      <c r="C344">
        <v>2</v>
      </c>
    </row>
    <row r="345" spans="1:3" x14ac:dyDescent="0.25">
      <c r="A345" t="s">
        <v>1652</v>
      </c>
      <c r="B345" t="s">
        <v>558</v>
      </c>
      <c r="C345">
        <v>2</v>
      </c>
    </row>
    <row r="346" spans="1:3" x14ac:dyDescent="0.25">
      <c r="A346" t="s">
        <v>1653</v>
      </c>
      <c r="B346" t="s">
        <v>559</v>
      </c>
      <c r="C346">
        <v>1</v>
      </c>
    </row>
    <row r="347" spans="1:3" x14ac:dyDescent="0.25">
      <c r="A347" t="s">
        <v>1654</v>
      </c>
      <c r="B347" t="s">
        <v>560</v>
      </c>
      <c r="C347">
        <v>1</v>
      </c>
    </row>
    <row r="348" spans="1:3" x14ac:dyDescent="0.25">
      <c r="A348" t="s">
        <v>1655</v>
      </c>
      <c r="B348" t="s">
        <v>561</v>
      </c>
      <c r="C348">
        <v>1</v>
      </c>
    </row>
    <row r="349" spans="1:3" x14ac:dyDescent="0.25">
      <c r="A349" t="s">
        <v>1656</v>
      </c>
      <c r="B349" t="s">
        <v>562</v>
      </c>
      <c r="C349">
        <v>1</v>
      </c>
    </row>
    <row r="350" spans="1:3" x14ac:dyDescent="0.25">
      <c r="A350" t="s">
        <v>1657</v>
      </c>
      <c r="B350" t="s">
        <v>563</v>
      </c>
      <c r="C350">
        <v>1</v>
      </c>
    </row>
    <row r="351" spans="1:3" x14ac:dyDescent="0.25">
      <c r="A351" t="s">
        <v>1658</v>
      </c>
      <c r="B351" t="s">
        <v>564</v>
      </c>
      <c r="C351">
        <v>1</v>
      </c>
    </row>
    <row r="352" spans="1:3" x14ac:dyDescent="0.25">
      <c r="A352" t="s">
        <v>1659</v>
      </c>
      <c r="B352" t="s">
        <v>565</v>
      </c>
      <c r="C352">
        <v>1</v>
      </c>
    </row>
    <row r="353" spans="1:3" x14ac:dyDescent="0.25">
      <c r="A353" t="s">
        <v>1660</v>
      </c>
      <c r="B353" t="s">
        <v>566</v>
      </c>
      <c r="C353">
        <v>1</v>
      </c>
    </row>
    <row r="354" spans="1:3" x14ac:dyDescent="0.25">
      <c r="A354" t="s">
        <v>1661</v>
      </c>
      <c r="B354" t="s">
        <v>567</v>
      </c>
      <c r="C354">
        <v>1</v>
      </c>
    </row>
    <row r="355" spans="1:3" x14ac:dyDescent="0.25">
      <c r="A355" t="s">
        <v>1662</v>
      </c>
      <c r="B355" t="s">
        <v>568</v>
      </c>
      <c r="C355">
        <v>3</v>
      </c>
    </row>
    <row r="356" spans="1:3" x14ac:dyDescent="0.25">
      <c r="A356" t="s">
        <v>1663</v>
      </c>
      <c r="B356" t="s">
        <v>569</v>
      </c>
      <c r="C356">
        <v>1</v>
      </c>
    </row>
    <row r="357" spans="1:3" x14ac:dyDescent="0.25">
      <c r="A357" t="s">
        <v>1664</v>
      </c>
      <c r="B357" t="s">
        <v>570</v>
      </c>
      <c r="C357">
        <v>1</v>
      </c>
    </row>
    <row r="358" spans="1:3" x14ac:dyDescent="0.25">
      <c r="A358" t="s">
        <v>1665</v>
      </c>
      <c r="B358" t="s">
        <v>571</v>
      </c>
      <c r="C358">
        <v>4</v>
      </c>
    </row>
    <row r="359" spans="1:3" x14ac:dyDescent="0.25">
      <c r="A359" t="s">
        <v>1666</v>
      </c>
      <c r="B359" t="s">
        <v>572</v>
      </c>
      <c r="C359">
        <v>1</v>
      </c>
    </row>
    <row r="360" spans="1:3" x14ac:dyDescent="0.25">
      <c r="A360" t="s">
        <v>1667</v>
      </c>
      <c r="B360" t="s">
        <v>573</v>
      </c>
      <c r="C360">
        <v>1</v>
      </c>
    </row>
    <row r="361" spans="1:3" x14ac:dyDescent="0.25">
      <c r="A361" t="s">
        <v>1668</v>
      </c>
      <c r="B361" t="s">
        <v>574</v>
      </c>
      <c r="C361">
        <v>2</v>
      </c>
    </row>
    <row r="362" spans="1:3" x14ac:dyDescent="0.25">
      <c r="A362" t="s">
        <v>1669</v>
      </c>
      <c r="B362" t="s">
        <v>575</v>
      </c>
      <c r="C362">
        <v>3</v>
      </c>
    </row>
    <row r="363" spans="1:3" x14ac:dyDescent="0.25">
      <c r="A363" t="s">
        <v>1670</v>
      </c>
      <c r="B363" t="s">
        <v>576</v>
      </c>
      <c r="C363">
        <v>1</v>
      </c>
    </row>
    <row r="364" spans="1:3" x14ac:dyDescent="0.25">
      <c r="A364" t="s">
        <v>1671</v>
      </c>
      <c r="B364" t="s">
        <v>577</v>
      </c>
      <c r="C364">
        <v>1</v>
      </c>
    </row>
    <row r="365" spans="1:3" x14ac:dyDescent="0.25">
      <c r="A365" t="s">
        <v>1672</v>
      </c>
      <c r="B365" t="s">
        <v>578</v>
      </c>
      <c r="C365">
        <v>1</v>
      </c>
    </row>
    <row r="366" spans="1:3" x14ac:dyDescent="0.25">
      <c r="A366" t="s">
        <v>1673</v>
      </c>
      <c r="B366" t="s">
        <v>579</v>
      </c>
      <c r="C366">
        <v>2</v>
      </c>
    </row>
    <row r="367" spans="1:3" x14ac:dyDescent="0.25">
      <c r="A367" t="s">
        <v>1674</v>
      </c>
      <c r="B367" t="s">
        <v>580</v>
      </c>
      <c r="C367">
        <v>2</v>
      </c>
    </row>
    <row r="368" spans="1:3" x14ac:dyDescent="0.25">
      <c r="A368" t="s">
        <v>1675</v>
      </c>
      <c r="B368" t="s">
        <v>581</v>
      </c>
      <c r="C368">
        <v>6</v>
      </c>
    </row>
    <row r="369" spans="1:3" x14ac:dyDescent="0.25">
      <c r="A369" t="s">
        <v>1676</v>
      </c>
      <c r="B369" t="s">
        <v>582</v>
      </c>
      <c r="C369">
        <v>1</v>
      </c>
    </row>
    <row r="370" spans="1:3" x14ac:dyDescent="0.25">
      <c r="A370" t="s">
        <v>1677</v>
      </c>
      <c r="B370" t="s">
        <v>583</v>
      </c>
      <c r="C370">
        <v>1</v>
      </c>
    </row>
    <row r="371" spans="1:3" x14ac:dyDescent="0.25">
      <c r="A371" t="s">
        <v>1678</v>
      </c>
      <c r="B371" t="s">
        <v>584</v>
      </c>
      <c r="C371">
        <v>2</v>
      </c>
    </row>
    <row r="372" spans="1:3" x14ac:dyDescent="0.25">
      <c r="A372" t="s">
        <v>1679</v>
      </c>
      <c r="B372" t="s">
        <v>585</v>
      </c>
      <c r="C372">
        <v>1</v>
      </c>
    </row>
    <row r="373" spans="1:3" x14ac:dyDescent="0.25">
      <c r="A373" t="s">
        <v>1680</v>
      </c>
      <c r="B373" t="s">
        <v>586</v>
      </c>
      <c r="C373">
        <v>3</v>
      </c>
    </row>
    <row r="374" spans="1:3" x14ac:dyDescent="0.25">
      <c r="A374" t="s">
        <v>1681</v>
      </c>
      <c r="B374" t="s">
        <v>587</v>
      </c>
      <c r="C374">
        <v>1</v>
      </c>
    </row>
    <row r="375" spans="1:3" x14ac:dyDescent="0.25">
      <c r="A375" t="s">
        <v>1682</v>
      </c>
      <c r="B375" t="s">
        <v>588</v>
      </c>
      <c r="C375">
        <v>3</v>
      </c>
    </row>
    <row r="376" spans="1:3" x14ac:dyDescent="0.25">
      <c r="A376" t="s">
        <v>1683</v>
      </c>
      <c r="B376" t="s">
        <v>589</v>
      </c>
      <c r="C376">
        <v>4</v>
      </c>
    </row>
    <row r="377" spans="1:3" x14ac:dyDescent="0.25">
      <c r="A377" t="s">
        <v>1684</v>
      </c>
      <c r="B377" t="s">
        <v>590</v>
      </c>
      <c r="C377">
        <v>15</v>
      </c>
    </row>
    <row r="378" spans="1:3" x14ac:dyDescent="0.25">
      <c r="A378" t="s">
        <v>1685</v>
      </c>
      <c r="B378" t="s">
        <v>591</v>
      </c>
      <c r="C378">
        <v>2</v>
      </c>
    </row>
    <row r="379" spans="1:3" x14ac:dyDescent="0.25">
      <c r="A379" t="s">
        <v>1686</v>
      </c>
      <c r="B379" t="s">
        <v>592</v>
      </c>
      <c r="C379">
        <v>21</v>
      </c>
    </row>
    <row r="380" spans="1:3" x14ac:dyDescent="0.25">
      <c r="A380" t="s">
        <v>1687</v>
      </c>
      <c r="B380" t="s">
        <v>593</v>
      </c>
      <c r="C380">
        <v>37</v>
      </c>
    </row>
    <row r="381" spans="1:3" x14ac:dyDescent="0.25">
      <c r="A381" t="s">
        <v>1688</v>
      </c>
      <c r="B381" t="s">
        <v>594</v>
      </c>
      <c r="C381">
        <v>10</v>
      </c>
    </row>
    <row r="382" spans="1:3" x14ac:dyDescent="0.25">
      <c r="A382" t="s">
        <v>1689</v>
      </c>
      <c r="B382" t="s">
        <v>595</v>
      </c>
      <c r="C382">
        <v>12</v>
      </c>
    </row>
    <row r="383" spans="1:3" x14ac:dyDescent="0.25">
      <c r="A383" t="s">
        <v>1690</v>
      </c>
      <c r="B383" t="s">
        <v>596</v>
      </c>
      <c r="C383">
        <v>2</v>
      </c>
    </row>
    <row r="384" spans="1:3" x14ac:dyDescent="0.25">
      <c r="A384" t="s">
        <v>1691</v>
      </c>
      <c r="B384" t="s">
        <v>597</v>
      </c>
      <c r="C384">
        <v>3</v>
      </c>
    </row>
    <row r="385" spans="1:3" x14ac:dyDescent="0.25">
      <c r="A385" t="s">
        <v>1692</v>
      </c>
      <c r="B385" t="s">
        <v>598</v>
      </c>
      <c r="C385">
        <v>1</v>
      </c>
    </row>
    <row r="386" spans="1:3" x14ac:dyDescent="0.25">
      <c r="A386" t="s">
        <v>1693</v>
      </c>
      <c r="B386" t="s">
        <v>599</v>
      </c>
      <c r="C386">
        <v>1</v>
      </c>
    </row>
    <row r="387" spans="1:3" x14ac:dyDescent="0.25">
      <c r="A387" t="s">
        <v>1694</v>
      </c>
      <c r="B387" t="s">
        <v>600</v>
      </c>
      <c r="C387">
        <v>2</v>
      </c>
    </row>
    <row r="388" spans="1:3" x14ac:dyDescent="0.25">
      <c r="A388" t="s">
        <v>1695</v>
      </c>
      <c r="B388" t="s">
        <v>601</v>
      </c>
      <c r="C388">
        <v>3</v>
      </c>
    </row>
    <row r="389" spans="1:3" x14ac:dyDescent="0.25">
      <c r="A389" t="s">
        <v>1696</v>
      </c>
      <c r="B389" t="s">
        <v>602</v>
      </c>
      <c r="C389">
        <v>1</v>
      </c>
    </row>
    <row r="390" spans="1:3" x14ac:dyDescent="0.25">
      <c r="A390" t="s">
        <v>1697</v>
      </c>
      <c r="B390" t="s">
        <v>603</v>
      </c>
      <c r="C390">
        <v>3</v>
      </c>
    </row>
    <row r="391" spans="1:3" x14ac:dyDescent="0.25">
      <c r="A391" t="s">
        <v>1698</v>
      </c>
      <c r="B391" t="s">
        <v>604</v>
      </c>
      <c r="C391">
        <v>1</v>
      </c>
    </row>
    <row r="392" spans="1:3" x14ac:dyDescent="0.25">
      <c r="A392" t="s">
        <v>1699</v>
      </c>
      <c r="B392" t="s">
        <v>605</v>
      </c>
      <c r="C392">
        <v>1</v>
      </c>
    </row>
    <row r="393" spans="1:3" x14ac:dyDescent="0.25">
      <c r="A393" t="s">
        <v>1700</v>
      </c>
      <c r="B393" t="s">
        <v>606</v>
      </c>
      <c r="C393">
        <v>5</v>
      </c>
    </row>
    <row r="394" spans="1:3" x14ac:dyDescent="0.25">
      <c r="A394" t="s">
        <v>1701</v>
      </c>
      <c r="B394" t="s">
        <v>607</v>
      </c>
      <c r="C394">
        <v>6</v>
      </c>
    </row>
    <row r="395" spans="1:3" x14ac:dyDescent="0.25">
      <c r="A395" t="s">
        <v>1702</v>
      </c>
      <c r="B395" t="s">
        <v>608</v>
      </c>
      <c r="C395">
        <v>2</v>
      </c>
    </row>
    <row r="396" spans="1:3" x14ac:dyDescent="0.25">
      <c r="A396" t="s">
        <v>1703</v>
      </c>
      <c r="B396" t="s">
        <v>609</v>
      </c>
      <c r="C396">
        <v>4</v>
      </c>
    </row>
    <row r="397" spans="1:3" x14ac:dyDescent="0.25">
      <c r="A397" t="s">
        <v>1704</v>
      </c>
      <c r="B397" t="s">
        <v>610</v>
      </c>
      <c r="C397">
        <v>25</v>
      </c>
    </row>
    <row r="398" spans="1:3" x14ac:dyDescent="0.25">
      <c r="A398" t="s">
        <v>1705</v>
      </c>
      <c r="B398" t="s">
        <v>611</v>
      </c>
      <c r="C398">
        <v>4</v>
      </c>
    </row>
    <row r="399" spans="1:3" x14ac:dyDescent="0.25">
      <c r="A399" t="s">
        <v>1706</v>
      </c>
      <c r="B399" t="s">
        <v>612</v>
      </c>
      <c r="C399">
        <v>7</v>
      </c>
    </row>
    <row r="400" spans="1:3" x14ac:dyDescent="0.25">
      <c r="A400" t="s">
        <v>1707</v>
      </c>
      <c r="B400" t="s">
        <v>613</v>
      </c>
      <c r="C400">
        <v>1</v>
      </c>
    </row>
    <row r="401" spans="1:3" x14ac:dyDescent="0.25">
      <c r="A401" t="s">
        <v>1708</v>
      </c>
      <c r="B401" t="s">
        <v>614</v>
      </c>
      <c r="C401">
        <v>3</v>
      </c>
    </row>
    <row r="402" spans="1:3" x14ac:dyDescent="0.25">
      <c r="A402" t="s">
        <v>1709</v>
      </c>
      <c r="B402" t="s">
        <v>615</v>
      </c>
      <c r="C402">
        <v>4</v>
      </c>
    </row>
    <row r="403" spans="1:3" x14ac:dyDescent="0.25">
      <c r="A403" t="s">
        <v>1710</v>
      </c>
      <c r="B403" t="s">
        <v>616</v>
      </c>
      <c r="C403">
        <v>1</v>
      </c>
    </row>
    <row r="404" spans="1:3" x14ac:dyDescent="0.25">
      <c r="A404" t="s">
        <v>1711</v>
      </c>
      <c r="B404" t="s">
        <v>617</v>
      </c>
      <c r="C404">
        <v>7</v>
      </c>
    </row>
    <row r="405" spans="1:3" x14ac:dyDescent="0.25">
      <c r="A405" t="s">
        <v>1712</v>
      </c>
      <c r="B405" t="s">
        <v>618</v>
      </c>
      <c r="C405">
        <v>2</v>
      </c>
    </row>
    <row r="406" spans="1:3" x14ac:dyDescent="0.25">
      <c r="A406" t="s">
        <v>1713</v>
      </c>
      <c r="B406" t="s">
        <v>619</v>
      </c>
      <c r="C406">
        <v>1</v>
      </c>
    </row>
    <row r="407" spans="1:3" x14ac:dyDescent="0.25">
      <c r="A407" t="s">
        <v>1714</v>
      </c>
      <c r="B407" t="s">
        <v>620</v>
      </c>
      <c r="C407">
        <v>5</v>
      </c>
    </row>
    <row r="408" spans="1:3" x14ac:dyDescent="0.25">
      <c r="A408" t="s">
        <v>1715</v>
      </c>
      <c r="B408" t="s">
        <v>621</v>
      </c>
      <c r="C408">
        <v>1</v>
      </c>
    </row>
    <row r="409" spans="1:3" x14ac:dyDescent="0.25">
      <c r="A409" t="s">
        <v>1716</v>
      </c>
      <c r="B409" t="s">
        <v>622</v>
      </c>
      <c r="C409">
        <v>2</v>
      </c>
    </row>
    <row r="410" spans="1:3" x14ac:dyDescent="0.25">
      <c r="A410" t="s">
        <v>1717</v>
      </c>
      <c r="B410" t="s">
        <v>623</v>
      </c>
      <c r="C410">
        <v>1</v>
      </c>
    </row>
    <row r="411" spans="1:3" x14ac:dyDescent="0.25">
      <c r="A411" t="s">
        <v>1718</v>
      </c>
      <c r="B411" t="s">
        <v>624</v>
      </c>
      <c r="C411">
        <v>1</v>
      </c>
    </row>
    <row r="412" spans="1:3" x14ac:dyDescent="0.25">
      <c r="A412" t="s">
        <v>1719</v>
      </c>
      <c r="B412" t="s">
        <v>625</v>
      </c>
      <c r="C412">
        <v>1</v>
      </c>
    </row>
    <row r="413" spans="1:3" x14ac:dyDescent="0.25">
      <c r="A413" t="s">
        <v>1720</v>
      </c>
      <c r="B413" t="s">
        <v>626</v>
      </c>
      <c r="C413">
        <v>9</v>
      </c>
    </row>
    <row r="414" spans="1:3" x14ac:dyDescent="0.25">
      <c r="A414" t="s">
        <v>1721</v>
      </c>
      <c r="B414" t="s">
        <v>627</v>
      </c>
      <c r="C414">
        <v>10</v>
      </c>
    </row>
    <row r="415" spans="1:3" x14ac:dyDescent="0.25">
      <c r="A415" t="s">
        <v>1722</v>
      </c>
      <c r="B415" t="s">
        <v>628</v>
      </c>
      <c r="C415">
        <v>3</v>
      </c>
    </row>
    <row r="416" spans="1:3" x14ac:dyDescent="0.25">
      <c r="A416" t="s">
        <v>1723</v>
      </c>
      <c r="B416" t="s">
        <v>629</v>
      </c>
      <c r="C416">
        <v>4</v>
      </c>
    </row>
    <row r="417" spans="1:3" x14ac:dyDescent="0.25">
      <c r="A417" t="s">
        <v>1724</v>
      </c>
      <c r="B417" t="s">
        <v>630</v>
      </c>
      <c r="C417">
        <v>3</v>
      </c>
    </row>
    <row r="418" spans="1:3" x14ac:dyDescent="0.25">
      <c r="A418" t="s">
        <v>1725</v>
      </c>
      <c r="B418" t="s">
        <v>594</v>
      </c>
      <c r="C418">
        <v>6</v>
      </c>
    </row>
    <row r="419" spans="1:3" x14ac:dyDescent="0.25">
      <c r="A419" t="s">
        <v>1726</v>
      </c>
      <c r="B419" t="s">
        <v>631</v>
      </c>
      <c r="C419">
        <v>24</v>
      </c>
    </row>
    <row r="420" spans="1:3" x14ac:dyDescent="0.25">
      <c r="A420" t="s">
        <v>1727</v>
      </c>
      <c r="B420" t="s">
        <v>632</v>
      </c>
      <c r="C420">
        <v>28</v>
      </c>
    </row>
    <row r="421" spans="1:3" x14ac:dyDescent="0.25">
      <c r="A421" t="s">
        <v>1728</v>
      </c>
      <c r="B421" t="s">
        <v>633</v>
      </c>
      <c r="C421">
        <v>1</v>
      </c>
    </row>
    <row r="422" spans="1:3" x14ac:dyDescent="0.25">
      <c r="A422" t="s">
        <v>1729</v>
      </c>
      <c r="B422" t="s">
        <v>634</v>
      </c>
      <c r="C422">
        <v>1</v>
      </c>
    </row>
    <row r="423" spans="1:3" x14ac:dyDescent="0.25">
      <c r="A423" t="s">
        <v>1730</v>
      </c>
      <c r="B423" t="s">
        <v>635</v>
      </c>
      <c r="C423">
        <v>7</v>
      </c>
    </row>
    <row r="424" spans="1:3" x14ac:dyDescent="0.25">
      <c r="A424" t="s">
        <v>1731</v>
      </c>
      <c r="B424" t="s">
        <v>636</v>
      </c>
      <c r="C424">
        <v>4</v>
      </c>
    </row>
    <row r="425" spans="1:3" x14ac:dyDescent="0.25">
      <c r="A425" t="s">
        <v>1732</v>
      </c>
      <c r="B425" t="s">
        <v>637</v>
      </c>
      <c r="C425">
        <v>43</v>
      </c>
    </row>
    <row r="426" spans="1:3" x14ac:dyDescent="0.25">
      <c r="A426" t="s">
        <v>1733</v>
      </c>
      <c r="B426" t="s">
        <v>638</v>
      </c>
      <c r="C426">
        <v>1</v>
      </c>
    </row>
    <row r="427" spans="1:3" x14ac:dyDescent="0.25">
      <c r="A427" t="s">
        <v>1734</v>
      </c>
      <c r="B427" t="s">
        <v>639</v>
      </c>
      <c r="C427">
        <v>1</v>
      </c>
    </row>
    <row r="428" spans="1:3" x14ac:dyDescent="0.25">
      <c r="A428" t="s">
        <v>1735</v>
      </c>
      <c r="B428" t="s">
        <v>640</v>
      </c>
      <c r="C428">
        <v>2</v>
      </c>
    </row>
    <row r="429" spans="1:3" x14ac:dyDescent="0.25">
      <c r="A429" t="s">
        <v>1736</v>
      </c>
      <c r="B429" t="s">
        <v>641</v>
      </c>
      <c r="C429">
        <v>2</v>
      </c>
    </row>
    <row r="430" spans="1:3" x14ac:dyDescent="0.25">
      <c r="A430" t="s">
        <v>1737</v>
      </c>
      <c r="B430" t="s">
        <v>642</v>
      </c>
      <c r="C430">
        <v>2</v>
      </c>
    </row>
    <row r="431" spans="1:3" x14ac:dyDescent="0.25">
      <c r="A431" t="s">
        <v>1738</v>
      </c>
      <c r="B431" t="s">
        <v>643</v>
      </c>
      <c r="C431">
        <v>7</v>
      </c>
    </row>
    <row r="432" spans="1:3" x14ac:dyDescent="0.25">
      <c r="A432" t="s">
        <v>1739</v>
      </c>
      <c r="B432" t="s">
        <v>644</v>
      </c>
      <c r="C432">
        <v>9</v>
      </c>
    </row>
    <row r="433" spans="1:3" x14ac:dyDescent="0.25">
      <c r="A433" t="s">
        <v>1740</v>
      </c>
      <c r="B433" t="s">
        <v>645</v>
      </c>
      <c r="C433">
        <v>1</v>
      </c>
    </row>
    <row r="434" spans="1:3" x14ac:dyDescent="0.25">
      <c r="A434" t="s">
        <v>1741</v>
      </c>
      <c r="B434" t="s">
        <v>646</v>
      </c>
      <c r="C434">
        <v>1</v>
      </c>
    </row>
    <row r="435" spans="1:3" x14ac:dyDescent="0.25">
      <c r="A435" t="s">
        <v>1742</v>
      </c>
      <c r="B435" t="s">
        <v>647</v>
      </c>
      <c r="C435">
        <v>1</v>
      </c>
    </row>
    <row r="436" spans="1:3" x14ac:dyDescent="0.25">
      <c r="A436" t="s">
        <v>1743</v>
      </c>
      <c r="B436" t="s">
        <v>648</v>
      </c>
      <c r="C436">
        <v>1</v>
      </c>
    </row>
    <row r="437" spans="1:3" x14ac:dyDescent="0.25">
      <c r="A437" t="s">
        <v>1744</v>
      </c>
      <c r="B437" t="s">
        <v>649</v>
      </c>
      <c r="C437">
        <v>10</v>
      </c>
    </row>
    <row r="438" spans="1:3" x14ac:dyDescent="0.25">
      <c r="A438" t="s">
        <v>1745</v>
      </c>
      <c r="B438" t="s">
        <v>650</v>
      </c>
      <c r="C438">
        <v>8</v>
      </c>
    </row>
    <row r="439" spans="1:3" x14ac:dyDescent="0.25">
      <c r="A439" t="s">
        <v>1746</v>
      </c>
      <c r="B439" t="s">
        <v>651</v>
      </c>
      <c r="C439">
        <v>2</v>
      </c>
    </row>
    <row r="440" spans="1:3" x14ac:dyDescent="0.25">
      <c r="A440" t="s">
        <v>1747</v>
      </c>
      <c r="B440" t="s">
        <v>652</v>
      </c>
      <c r="C440">
        <v>24</v>
      </c>
    </row>
    <row r="441" spans="1:3" x14ac:dyDescent="0.25">
      <c r="A441" t="s">
        <v>1748</v>
      </c>
      <c r="B441" t="s">
        <v>653</v>
      </c>
      <c r="C441">
        <v>3</v>
      </c>
    </row>
    <row r="442" spans="1:3" x14ac:dyDescent="0.25">
      <c r="A442" t="s">
        <v>1749</v>
      </c>
      <c r="B442" t="s">
        <v>654</v>
      </c>
      <c r="C442">
        <v>7</v>
      </c>
    </row>
    <row r="443" spans="1:3" x14ac:dyDescent="0.25">
      <c r="A443" t="s">
        <v>1750</v>
      </c>
      <c r="B443" t="s">
        <v>655</v>
      </c>
      <c r="C443">
        <v>13</v>
      </c>
    </row>
    <row r="444" spans="1:3" x14ac:dyDescent="0.25">
      <c r="A444" t="s">
        <v>1751</v>
      </c>
      <c r="B444" t="s">
        <v>656</v>
      </c>
      <c r="C444">
        <v>2</v>
      </c>
    </row>
    <row r="445" spans="1:3" x14ac:dyDescent="0.25">
      <c r="A445" t="s">
        <v>1752</v>
      </c>
      <c r="B445" t="s">
        <v>657</v>
      </c>
      <c r="C445">
        <v>20</v>
      </c>
    </row>
    <row r="446" spans="1:3" x14ac:dyDescent="0.25">
      <c r="A446" t="s">
        <v>1753</v>
      </c>
      <c r="B446" t="s">
        <v>658</v>
      </c>
      <c r="C446">
        <v>5</v>
      </c>
    </row>
    <row r="447" spans="1:3" x14ac:dyDescent="0.25">
      <c r="A447" t="s">
        <v>1754</v>
      </c>
      <c r="B447" t="s">
        <v>659</v>
      </c>
      <c r="C447">
        <v>7</v>
      </c>
    </row>
    <row r="448" spans="1:3" x14ac:dyDescent="0.25">
      <c r="A448" t="s">
        <v>1755</v>
      </c>
      <c r="B448" t="s">
        <v>660</v>
      </c>
      <c r="C448">
        <v>17</v>
      </c>
    </row>
    <row r="449" spans="1:3" x14ac:dyDescent="0.25">
      <c r="A449" t="s">
        <v>1756</v>
      </c>
      <c r="B449" t="s">
        <v>661</v>
      </c>
      <c r="C449">
        <v>0</v>
      </c>
    </row>
    <row r="450" spans="1:3" x14ac:dyDescent="0.25">
      <c r="A450" t="s">
        <v>1757</v>
      </c>
      <c r="B450" t="s">
        <v>662</v>
      </c>
      <c r="C450">
        <v>1</v>
      </c>
    </row>
    <row r="451" spans="1:3" x14ac:dyDescent="0.25">
      <c r="A451" t="s">
        <v>1758</v>
      </c>
      <c r="B451" t="s">
        <v>663</v>
      </c>
      <c r="C451">
        <v>3</v>
      </c>
    </row>
    <row r="452" spans="1:3" x14ac:dyDescent="0.25">
      <c r="A452" t="s">
        <v>1759</v>
      </c>
      <c r="B452" t="s">
        <v>664</v>
      </c>
      <c r="C452">
        <v>1</v>
      </c>
    </row>
    <row r="453" spans="1:3" x14ac:dyDescent="0.25">
      <c r="A453" t="s">
        <v>1760</v>
      </c>
      <c r="B453" t="s">
        <v>665</v>
      </c>
      <c r="C453">
        <v>1</v>
      </c>
    </row>
    <row r="454" spans="1:3" x14ac:dyDescent="0.25">
      <c r="A454" t="s">
        <v>1761</v>
      </c>
      <c r="B454" t="s">
        <v>666</v>
      </c>
      <c r="C454">
        <v>3</v>
      </c>
    </row>
    <row r="455" spans="1:3" x14ac:dyDescent="0.25">
      <c r="A455" t="s">
        <v>1762</v>
      </c>
      <c r="B455" t="s">
        <v>667</v>
      </c>
      <c r="C455">
        <v>7</v>
      </c>
    </row>
    <row r="456" spans="1:3" x14ac:dyDescent="0.25">
      <c r="A456" t="s">
        <v>1763</v>
      </c>
      <c r="B456" t="s">
        <v>668</v>
      </c>
      <c r="C456">
        <v>6</v>
      </c>
    </row>
    <row r="457" spans="1:3" x14ac:dyDescent="0.25">
      <c r="A457" t="s">
        <v>1764</v>
      </c>
      <c r="B457" t="s">
        <v>669</v>
      </c>
      <c r="C457">
        <v>3</v>
      </c>
    </row>
    <row r="458" spans="1:3" x14ac:dyDescent="0.25">
      <c r="A458" t="s">
        <v>1765</v>
      </c>
      <c r="B458" t="s">
        <v>670</v>
      </c>
      <c r="C458">
        <v>23</v>
      </c>
    </row>
    <row r="459" spans="1:3" x14ac:dyDescent="0.25">
      <c r="A459" t="s">
        <v>1766</v>
      </c>
      <c r="B459" t="s">
        <v>671</v>
      </c>
      <c r="C459">
        <v>22</v>
      </c>
    </row>
    <row r="460" spans="1:3" x14ac:dyDescent="0.25">
      <c r="A460" t="s">
        <v>1767</v>
      </c>
      <c r="B460" t="s">
        <v>672</v>
      </c>
      <c r="C460">
        <v>10</v>
      </c>
    </row>
    <row r="461" spans="1:3" x14ac:dyDescent="0.25">
      <c r="A461" t="s">
        <v>1768</v>
      </c>
      <c r="B461" t="s">
        <v>673</v>
      </c>
      <c r="C461">
        <v>13</v>
      </c>
    </row>
    <row r="462" spans="1:3" x14ac:dyDescent="0.25">
      <c r="A462" t="s">
        <v>1769</v>
      </c>
      <c r="B462" t="s">
        <v>674</v>
      </c>
      <c r="C462">
        <v>6</v>
      </c>
    </row>
    <row r="463" spans="1:3" x14ac:dyDescent="0.25">
      <c r="A463" t="s">
        <v>1770</v>
      </c>
      <c r="B463" t="s">
        <v>675</v>
      </c>
      <c r="C463">
        <v>6</v>
      </c>
    </row>
    <row r="464" spans="1:3" x14ac:dyDescent="0.25">
      <c r="A464" t="s">
        <v>1771</v>
      </c>
      <c r="B464" t="s">
        <v>676</v>
      </c>
      <c r="C464">
        <v>7</v>
      </c>
    </row>
    <row r="465" spans="1:3" x14ac:dyDescent="0.25">
      <c r="A465" t="s">
        <v>1772</v>
      </c>
      <c r="B465" t="s">
        <v>677</v>
      </c>
      <c r="C465">
        <v>5</v>
      </c>
    </row>
    <row r="466" spans="1:3" x14ac:dyDescent="0.25">
      <c r="A466" t="s">
        <v>1773</v>
      </c>
      <c r="B466" t="s">
        <v>678</v>
      </c>
      <c r="C466">
        <v>2</v>
      </c>
    </row>
    <row r="467" spans="1:3" x14ac:dyDescent="0.25">
      <c r="A467" t="s">
        <v>1774</v>
      </c>
      <c r="B467" t="s">
        <v>679</v>
      </c>
      <c r="C467">
        <v>1</v>
      </c>
    </row>
    <row r="468" spans="1:3" x14ac:dyDescent="0.25">
      <c r="A468" t="s">
        <v>1775</v>
      </c>
      <c r="B468" t="s">
        <v>680</v>
      </c>
      <c r="C468">
        <v>1</v>
      </c>
    </row>
    <row r="469" spans="1:3" x14ac:dyDescent="0.25">
      <c r="A469" t="s">
        <v>1776</v>
      </c>
      <c r="B469" t="s">
        <v>681</v>
      </c>
      <c r="C469">
        <v>2</v>
      </c>
    </row>
    <row r="470" spans="1:3" x14ac:dyDescent="0.25">
      <c r="A470" t="s">
        <v>1777</v>
      </c>
      <c r="B470" t="s">
        <v>682</v>
      </c>
      <c r="C470">
        <v>1</v>
      </c>
    </row>
    <row r="471" spans="1:3" x14ac:dyDescent="0.25">
      <c r="A471" t="s">
        <v>1778</v>
      </c>
      <c r="B471" t="s">
        <v>683</v>
      </c>
      <c r="C471">
        <v>10</v>
      </c>
    </row>
    <row r="472" spans="1:3" x14ac:dyDescent="0.25">
      <c r="A472" t="s">
        <v>1779</v>
      </c>
      <c r="B472" t="s">
        <v>684</v>
      </c>
      <c r="C472">
        <v>4</v>
      </c>
    </row>
    <row r="473" spans="1:3" x14ac:dyDescent="0.25">
      <c r="A473" t="s">
        <v>1780</v>
      </c>
      <c r="B473" t="s">
        <v>685</v>
      </c>
      <c r="C473">
        <v>10</v>
      </c>
    </row>
    <row r="474" spans="1:3" x14ac:dyDescent="0.25">
      <c r="A474" t="s">
        <v>1781</v>
      </c>
      <c r="B474" t="s">
        <v>686</v>
      </c>
      <c r="C474">
        <v>18</v>
      </c>
    </row>
    <row r="475" spans="1:3" x14ac:dyDescent="0.25">
      <c r="A475" t="s">
        <v>1782</v>
      </c>
      <c r="B475" t="s">
        <v>687</v>
      </c>
      <c r="C475">
        <v>1</v>
      </c>
    </row>
    <row r="476" spans="1:3" x14ac:dyDescent="0.25">
      <c r="A476" t="s">
        <v>1783</v>
      </c>
      <c r="B476" t="s">
        <v>688</v>
      </c>
      <c r="C476">
        <v>6</v>
      </c>
    </row>
    <row r="477" spans="1:3" x14ac:dyDescent="0.25">
      <c r="A477" t="s">
        <v>1784</v>
      </c>
      <c r="B477" t="s">
        <v>689</v>
      </c>
      <c r="C477">
        <v>17</v>
      </c>
    </row>
    <row r="478" spans="1:3" x14ac:dyDescent="0.25">
      <c r="A478" t="s">
        <v>1785</v>
      </c>
      <c r="B478" t="s">
        <v>690</v>
      </c>
      <c r="C478">
        <v>27</v>
      </c>
    </row>
    <row r="479" spans="1:3" x14ac:dyDescent="0.25">
      <c r="A479" t="s">
        <v>1786</v>
      </c>
      <c r="B479" t="s">
        <v>691</v>
      </c>
      <c r="C479">
        <v>1</v>
      </c>
    </row>
    <row r="480" spans="1:3" x14ac:dyDescent="0.25">
      <c r="A480" t="s">
        <v>1787</v>
      </c>
      <c r="B480" t="s">
        <v>692</v>
      </c>
      <c r="C480">
        <v>35</v>
      </c>
    </row>
    <row r="481" spans="1:3" x14ac:dyDescent="0.25">
      <c r="A481" t="s">
        <v>1788</v>
      </c>
      <c r="B481" t="s">
        <v>693</v>
      </c>
      <c r="C481">
        <v>1</v>
      </c>
    </row>
    <row r="482" spans="1:3" x14ac:dyDescent="0.25">
      <c r="A482" t="s">
        <v>1789</v>
      </c>
      <c r="B482" t="s">
        <v>694</v>
      </c>
      <c r="C482">
        <v>20</v>
      </c>
    </row>
    <row r="483" spans="1:3" x14ac:dyDescent="0.25">
      <c r="A483" t="s">
        <v>1790</v>
      </c>
      <c r="B483" t="s">
        <v>695</v>
      </c>
      <c r="C483">
        <v>1</v>
      </c>
    </row>
    <row r="484" spans="1:3" x14ac:dyDescent="0.25">
      <c r="A484" t="s">
        <v>1791</v>
      </c>
      <c r="B484" t="s">
        <v>696</v>
      </c>
      <c r="C484">
        <v>4</v>
      </c>
    </row>
    <row r="485" spans="1:3" x14ac:dyDescent="0.25">
      <c r="A485" t="s">
        <v>1792</v>
      </c>
      <c r="B485" t="s">
        <v>697</v>
      </c>
      <c r="C485">
        <v>7</v>
      </c>
    </row>
    <row r="486" spans="1:3" x14ac:dyDescent="0.25">
      <c r="A486" t="s">
        <v>1793</v>
      </c>
      <c r="B486" t="s">
        <v>698</v>
      </c>
      <c r="C486">
        <v>2</v>
      </c>
    </row>
    <row r="487" spans="1:3" x14ac:dyDescent="0.25">
      <c r="A487" t="s">
        <v>1794</v>
      </c>
      <c r="B487" t="s">
        <v>699</v>
      </c>
      <c r="C487">
        <v>3</v>
      </c>
    </row>
    <row r="488" spans="1:3" x14ac:dyDescent="0.25">
      <c r="A488" t="s">
        <v>1795</v>
      </c>
      <c r="B488" t="s">
        <v>700</v>
      </c>
      <c r="C488">
        <v>2</v>
      </c>
    </row>
    <row r="489" spans="1:3" x14ac:dyDescent="0.25">
      <c r="A489" t="s">
        <v>1796</v>
      </c>
      <c r="B489" t="s">
        <v>701</v>
      </c>
      <c r="C489">
        <v>2</v>
      </c>
    </row>
    <row r="490" spans="1:3" x14ac:dyDescent="0.25">
      <c r="A490" t="s">
        <v>1797</v>
      </c>
      <c r="B490" t="s">
        <v>702</v>
      </c>
      <c r="C490">
        <v>1</v>
      </c>
    </row>
    <row r="491" spans="1:3" x14ac:dyDescent="0.25">
      <c r="A491" t="s">
        <v>1798</v>
      </c>
      <c r="B491" t="s">
        <v>703</v>
      </c>
      <c r="C491">
        <v>2</v>
      </c>
    </row>
    <row r="492" spans="1:3" x14ac:dyDescent="0.25">
      <c r="A492" t="s">
        <v>1799</v>
      </c>
      <c r="B492" t="s">
        <v>704</v>
      </c>
      <c r="C492">
        <v>2</v>
      </c>
    </row>
    <row r="493" spans="1:3" x14ac:dyDescent="0.25">
      <c r="A493" t="s">
        <v>1800</v>
      </c>
      <c r="B493" t="s">
        <v>705</v>
      </c>
      <c r="C493">
        <v>5</v>
      </c>
    </row>
    <row r="494" spans="1:3" x14ac:dyDescent="0.25">
      <c r="A494" t="s">
        <v>1801</v>
      </c>
      <c r="B494" t="s">
        <v>706</v>
      </c>
      <c r="C494">
        <v>1</v>
      </c>
    </row>
    <row r="495" spans="1:3" x14ac:dyDescent="0.25">
      <c r="A495" t="s">
        <v>1802</v>
      </c>
      <c r="B495" t="s">
        <v>707</v>
      </c>
      <c r="C495">
        <v>3</v>
      </c>
    </row>
    <row r="496" spans="1:3" x14ac:dyDescent="0.25">
      <c r="A496" t="s">
        <v>1803</v>
      </c>
      <c r="B496" t="s">
        <v>708</v>
      </c>
      <c r="C496">
        <v>2</v>
      </c>
    </row>
    <row r="497" spans="1:3" x14ac:dyDescent="0.25">
      <c r="A497" t="s">
        <v>1804</v>
      </c>
      <c r="B497" t="s">
        <v>709</v>
      </c>
      <c r="C497">
        <v>3</v>
      </c>
    </row>
    <row r="498" spans="1:3" x14ac:dyDescent="0.25">
      <c r="A498" t="s">
        <v>1805</v>
      </c>
      <c r="B498" t="s">
        <v>710</v>
      </c>
      <c r="C498">
        <v>5</v>
      </c>
    </row>
    <row r="499" spans="1:3" x14ac:dyDescent="0.25">
      <c r="A499" t="s">
        <v>1806</v>
      </c>
      <c r="B499" t="s">
        <v>711</v>
      </c>
      <c r="C499">
        <v>4</v>
      </c>
    </row>
    <row r="500" spans="1:3" x14ac:dyDescent="0.25">
      <c r="A500" t="s">
        <v>1807</v>
      </c>
      <c r="B500" t="s">
        <v>712</v>
      </c>
      <c r="C500">
        <v>4</v>
      </c>
    </row>
    <row r="501" spans="1:3" x14ac:dyDescent="0.25">
      <c r="A501" t="s">
        <v>1808</v>
      </c>
      <c r="B501" t="s">
        <v>713</v>
      </c>
      <c r="C501">
        <v>3</v>
      </c>
    </row>
    <row r="502" spans="1:3" x14ac:dyDescent="0.25">
      <c r="A502" t="s">
        <v>1809</v>
      </c>
      <c r="B502" t="s">
        <v>714</v>
      </c>
      <c r="C502">
        <v>7</v>
      </c>
    </row>
    <row r="503" spans="1:3" x14ac:dyDescent="0.25">
      <c r="A503" t="s">
        <v>1810</v>
      </c>
      <c r="B503" t="s">
        <v>715</v>
      </c>
      <c r="C503">
        <v>1</v>
      </c>
    </row>
    <row r="504" spans="1:3" x14ac:dyDescent="0.25">
      <c r="A504" t="s">
        <v>1811</v>
      </c>
      <c r="B504" t="s">
        <v>716</v>
      </c>
      <c r="C504">
        <v>1</v>
      </c>
    </row>
    <row r="505" spans="1:3" x14ac:dyDescent="0.25">
      <c r="A505" t="s">
        <v>1812</v>
      </c>
      <c r="B505" t="s">
        <v>717</v>
      </c>
      <c r="C505">
        <v>1</v>
      </c>
    </row>
    <row r="506" spans="1:3" x14ac:dyDescent="0.25">
      <c r="A506" t="s">
        <v>1813</v>
      </c>
      <c r="B506" t="s">
        <v>718</v>
      </c>
      <c r="C506">
        <v>2</v>
      </c>
    </row>
    <row r="507" spans="1:3" x14ac:dyDescent="0.25">
      <c r="A507" t="s">
        <v>1814</v>
      </c>
      <c r="B507" t="s">
        <v>719</v>
      </c>
      <c r="C507">
        <v>1</v>
      </c>
    </row>
    <row r="508" spans="1:3" x14ac:dyDescent="0.25">
      <c r="A508" t="s">
        <v>1815</v>
      </c>
      <c r="B508" t="s">
        <v>720</v>
      </c>
      <c r="C508">
        <v>2</v>
      </c>
    </row>
    <row r="509" spans="1:3" x14ac:dyDescent="0.25">
      <c r="A509" t="s">
        <v>1816</v>
      </c>
      <c r="B509" t="s">
        <v>721</v>
      </c>
      <c r="C509">
        <v>1</v>
      </c>
    </row>
    <row r="510" spans="1:3" x14ac:dyDescent="0.25">
      <c r="A510" t="s">
        <v>1817</v>
      </c>
      <c r="B510" t="s">
        <v>722</v>
      </c>
      <c r="C510">
        <v>1</v>
      </c>
    </row>
    <row r="511" spans="1:3" x14ac:dyDescent="0.25">
      <c r="A511" t="s">
        <v>1818</v>
      </c>
      <c r="B511" t="s">
        <v>723</v>
      </c>
      <c r="C511">
        <v>2</v>
      </c>
    </row>
    <row r="512" spans="1:3" x14ac:dyDescent="0.25">
      <c r="A512" t="s">
        <v>1819</v>
      </c>
      <c r="B512" t="s">
        <v>724</v>
      </c>
      <c r="C512">
        <v>1</v>
      </c>
    </row>
    <row r="513" spans="1:3" x14ac:dyDescent="0.25">
      <c r="A513" t="s">
        <v>1820</v>
      </c>
      <c r="B513" t="s">
        <v>725</v>
      </c>
      <c r="C513">
        <v>2</v>
      </c>
    </row>
    <row r="514" spans="1:3" x14ac:dyDescent="0.25">
      <c r="A514" t="s">
        <v>1821</v>
      </c>
      <c r="B514" t="s">
        <v>726</v>
      </c>
      <c r="C514">
        <v>1</v>
      </c>
    </row>
    <row r="515" spans="1:3" x14ac:dyDescent="0.25">
      <c r="A515" t="s">
        <v>1822</v>
      </c>
      <c r="B515" t="s">
        <v>727</v>
      </c>
      <c r="C515">
        <v>1</v>
      </c>
    </row>
    <row r="516" spans="1:3" x14ac:dyDescent="0.25">
      <c r="A516" t="s">
        <v>1823</v>
      </c>
      <c r="B516" t="s">
        <v>728</v>
      </c>
      <c r="C516">
        <v>1</v>
      </c>
    </row>
    <row r="517" spans="1:3" x14ac:dyDescent="0.25">
      <c r="A517" t="s">
        <v>1824</v>
      </c>
      <c r="B517" t="s">
        <v>729</v>
      </c>
      <c r="C517">
        <v>3</v>
      </c>
    </row>
    <row r="518" spans="1:3" x14ac:dyDescent="0.25">
      <c r="A518" t="s">
        <v>1825</v>
      </c>
      <c r="B518" t="s">
        <v>730</v>
      </c>
      <c r="C518">
        <v>3</v>
      </c>
    </row>
    <row r="519" spans="1:3" x14ac:dyDescent="0.25">
      <c r="A519" t="s">
        <v>1826</v>
      </c>
      <c r="B519" t="s">
        <v>731</v>
      </c>
      <c r="C519">
        <v>2</v>
      </c>
    </row>
    <row r="520" spans="1:3" x14ac:dyDescent="0.25">
      <c r="A520" t="s">
        <v>1827</v>
      </c>
      <c r="B520" t="s">
        <v>732</v>
      </c>
      <c r="C520">
        <v>1</v>
      </c>
    </row>
    <row r="521" spans="1:3" x14ac:dyDescent="0.25">
      <c r="A521" t="s">
        <v>1828</v>
      </c>
      <c r="B521" t="s">
        <v>733</v>
      </c>
      <c r="C521">
        <v>1</v>
      </c>
    </row>
    <row r="522" spans="1:3" x14ac:dyDescent="0.25">
      <c r="A522" t="s">
        <v>1829</v>
      </c>
      <c r="B522" t="s">
        <v>734</v>
      </c>
      <c r="C522">
        <v>1</v>
      </c>
    </row>
    <row r="523" spans="1:3" x14ac:dyDescent="0.25">
      <c r="A523" t="s">
        <v>1830</v>
      </c>
      <c r="B523" t="s">
        <v>735</v>
      </c>
      <c r="C523">
        <v>1</v>
      </c>
    </row>
    <row r="524" spans="1:3" x14ac:dyDescent="0.25">
      <c r="A524" t="s">
        <v>1831</v>
      </c>
      <c r="B524" t="s">
        <v>736</v>
      </c>
      <c r="C524">
        <v>14</v>
      </c>
    </row>
    <row r="525" spans="1:3" x14ac:dyDescent="0.25">
      <c r="A525" t="s">
        <v>1832</v>
      </c>
      <c r="B525" t="s">
        <v>737</v>
      </c>
      <c r="C525">
        <v>2</v>
      </c>
    </row>
    <row r="526" spans="1:3" x14ac:dyDescent="0.25">
      <c r="A526" t="s">
        <v>1833</v>
      </c>
      <c r="B526" t="s">
        <v>738</v>
      </c>
      <c r="C526">
        <v>5</v>
      </c>
    </row>
    <row r="527" spans="1:3" x14ac:dyDescent="0.25">
      <c r="A527" t="s">
        <v>1834</v>
      </c>
      <c r="B527" t="s">
        <v>739</v>
      </c>
      <c r="C527">
        <v>1</v>
      </c>
    </row>
    <row r="528" spans="1:3" x14ac:dyDescent="0.25">
      <c r="A528" t="s">
        <v>1835</v>
      </c>
      <c r="B528" t="s">
        <v>740</v>
      </c>
      <c r="C528">
        <v>8</v>
      </c>
    </row>
    <row r="529" spans="1:3" x14ac:dyDescent="0.25">
      <c r="A529" t="s">
        <v>1836</v>
      </c>
      <c r="B529" t="s">
        <v>741</v>
      </c>
      <c r="C529">
        <v>7</v>
      </c>
    </row>
    <row r="530" spans="1:3" x14ac:dyDescent="0.25">
      <c r="A530" t="s">
        <v>1837</v>
      </c>
      <c r="B530" t="s">
        <v>1267</v>
      </c>
      <c r="C530">
        <v>1</v>
      </c>
    </row>
    <row r="531" spans="1:3" x14ac:dyDescent="0.25">
      <c r="A531" t="s">
        <v>1838</v>
      </c>
      <c r="B531" t="s">
        <v>742</v>
      </c>
      <c r="C531">
        <v>2</v>
      </c>
    </row>
    <row r="532" spans="1:3" x14ac:dyDescent="0.25">
      <c r="A532" t="s">
        <v>1839</v>
      </c>
      <c r="B532" t="s">
        <v>743</v>
      </c>
      <c r="C532">
        <v>2</v>
      </c>
    </row>
    <row r="533" spans="1:3" x14ac:dyDescent="0.25">
      <c r="A533" t="s">
        <v>1840</v>
      </c>
      <c r="B533" t="s">
        <v>744</v>
      </c>
      <c r="C533">
        <v>1</v>
      </c>
    </row>
    <row r="534" spans="1:3" x14ac:dyDescent="0.25">
      <c r="A534" t="s">
        <v>1841</v>
      </c>
      <c r="B534" t="s">
        <v>745</v>
      </c>
      <c r="C534">
        <v>1</v>
      </c>
    </row>
    <row r="535" spans="1:3" x14ac:dyDescent="0.25">
      <c r="A535" t="s">
        <v>1842</v>
      </c>
      <c r="B535" t="s">
        <v>746</v>
      </c>
      <c r="C535">
        <v>1</v>
      </c>
    </row>
    <row r="536" spans="1:3" x14ac:dyDescent="0.25">
      <c r="A536" t="s">
        <v>1843</v>
      </c>
      <c r="B536" t="s">
        <v>747</v>
      </c>
      <c r="C536">
        <v>1</v>
      </c>
    </row>
    <row r="537" spans="1:3" x14ac:dyDescent="0.25">
      <c r="A537" t="s">
        <v>1844</v>
      </c>
      <c r="B537" t="s">
        <v>748</v>
      </c>
      <c r="C537">
        <v>1</v>
      </c>
    </row>
    <row r="538" spans="1:3" x14ac:dyDescent="0.25">
      <c r="A538" t="s">
        <v>1845</v>
      </c>
      <c r="B538" t="s">
        <v>749</v>
      </c>
      <c r="C538">
        <v>1</v>
      </c>
    </row>
    <row r="539" spans="1:3" x14ac:dyDescent="0.25">
      <c r="A539" t="s">
        <v>1846</v>
      </c>
      <c r="B539" t="s">
        <v>750</v>
      </c>
      <c r="C539">
        <v>1</v>
      </c>
    </row>
    <row r="540" spans="1:3" x14ac:dyDescent="0.25">
      <c r="A540" t="s">
        <v>1847</v>
      </c>
      <c r="B540" t="s">
        <v>751</v>
      </c>
      <c r="C540">
        <v>1</v>
      </c>
    </row>
    <row r="541" spans="1:3" x14ac:dyDescent="0.25">
      <c r="A541" t="s">
        <v>1848</v>
      </c>
      <c r="B541" t="s">
        <v>752</v>
      </c>
      <c r="C541">
        <v>1</v>
      </c>
    </row>
    <row r="542" spans="1:3" x14ac:dyDescent="0.25">
      <c r="A542" t="s">
        <v>1849</v>
      </c>
      <c r="B542" t="s">
        <v>753</v>
      </c>
      <c r="C542">
        <v>1</v>
      </c>
    </row>
    <row r="543" spans="1:3" x14ac:dyDescent="0.25">
      <c r="A543" t="s">
        <v>1850</v>
      </c>
      <c r="B543" t="s">
        <v>754</v>
      </c>
      <c r="C543">
        <v>1</v>
      </c>
    </row>
    <row r="544" spans="1:3" x14ac:dyDescent="0.25">
      <c r="A544" t="s">
        <v>1851</v>
      </c>
      <c r="B544" t="s">
        <v>755</v>
      </c>
      <c r="C544">
        <v>0</v>
      </c>
    </row>
    <row r="545" spans="1:3" x14ac:dyDescent="0.25">
      <c r="A545" t="s">
        <v>1852</v>
      </c>
      <c r="B545" t="s">
        <v>756</v>
      </c>
      <c r="C545">
        <v>6</v>
      </c>
    </row>
    <row r="546" spans="1:3" x14ac:dyDescent="0.25">
      <c r="A546" t="s">
        <v>1853</v>
      </c>
      <c r="B546" t="s">
        <v>757</v>
      </c>
      <c r="C546">
        <v>1</v>
      </c>
    </row>
    <row r="547" spans="1:3" x14ac:dyDescent="0.25">
      <c r="A547" t="s">
        <v>1854</v>
      </c>
      <c r="B547" t="s">
        <v>758</v>
      </c>
      <c r="C547">
        <v>2</v>
      </c>
    </row>
    <row r="548" spans="1:3" x14ac:dyDescent="0.25">
      <c r="A548" t="s">
        <v>1855</v>
      </c>
      <c r="B548" t="s">
        <v>759</v>
      </c>
      <c r="C548">
        <v>2</v>
      </c>
    </row>
    <row r="549" spans="1:3" x14ac:dyDescent="0.25">
      <c r="A549" t="s">
        <v>1856</v>
      </c>
      <c r="B549" t="s">
        <v>760</v>
      </c>
      <c r="C549">
        <v>3</v>
      </c>
    </row>
    <row r="550" spans="1:3" x14ac:dyDescent="0.25">
      <c r="A550" t="s">
        <v>1857</v>
      </c>
      <c r="B550" t="s">
        <v>761</v>
      </c>
      <c r="C550">
        <v>1</v>
      </c>
    </row>
    <row r="551" spans="1:3" x14ac:dyDescent="0.25">
      <c r="A551" t="s">
        <v>1858</v>
      </c>
      <c r="B551" t="s">
        <v>762</v>
      </c>
      <c r="C551">
        <v>1</v>
      </c>
    </row>
    <row r="552" spans="1:3" x14ac:dyDescent="0.25">
      <c r="A552" t="s">
        <v>1859</v>
      </c>
      <c r="B552" t="s">
        <v>763</v>
      </c>
      <c r="C552">
        <v>1</v>
      </c>
    </row>
    <row r="553" spans="1:3" x14ac:dyDescent="0.25">
      <c r="A553" t="s">
        <v>1860</v>
      </c>
      <c r="B553" t="s">
        <v>764</v>
      </c>
      <c r="C553">
        <v>1</v>
      </c>
    </row>
    <row r="554" spans="1:3" x14ac:dyDescent="0.25">
      <c r="A554" t="s">
        <v>1861</v>
      </c>
      <c r="B554" t="s">
        <v>765</v>
      </c>
      <c r="C554">
        <v>1</v>
      </c>
    </row>
    <row r="555" spans="1:3" x14ac:dyDescent="0.25">
      <c r="A555" t="s">
        <v>1862</v>
      </c>
      <c r="B555" t="s">
        <v>766</v>
      </c>
      <c r="C555">
        <v>10</v>
      </c>
    </row>
    <row r="556" spans="1:3" x14ac:dyDescent="0.25">
      <c r="A556" t="s">
        <v>1863</v>
      </c>
      <c r="B556" t="s">
        <v>767</v>
      </c>
      <c r="C556">
        <v>1</v>
      </c>
    </row>
    <row r="557" spans="1:3" x14ac:dyDescent="0.25">
      <c r="A557" t="s">
        <v>1864</v>
      </c>
      <c r="B557" t="s">
        <v>768</v>
      </c>
      <c r="C557">
        <v>1</v>
      </c>
    </row>
    <row r="558" spans="1:3" x14ac:dyDescent="0.25">
      <c r="A558" t="s">
        <v>1865</v>
      </c>
      <c r="B558" t="s">
        <v>769</v>
      </c>
      <c r="C558">
        <v>1</v>
      </c>
    </row>
    <row r="559" spans="1:3" x14ac:dyDescent="0.25">
      <c r="A559" t="s">
        <v>1866</v>
      </c>
      <c r="B559" t="s">
        <v>770</v>
      </c>
      <c r="C559">
        <v>1</v>
      </c>
    </row>
    <row r="560" spans="1:3" x14ac:dyDescent="0.25">
      <c r="A560" t="s">
        <v>1867</v>
      </c>
      <c r="B560" t="s">
        <v>771</v>
      </c>
      <c r="C560">
        <v>1</v>
      </c>
    </row>
    <row r="561" spans="1:3" x14ac:dyDescent="0.25">
      <c r="A561" t="s">
        <v>1868</v>
      </c>
      <c r="B561" t="s">
        <v>772</v>
      </c>
      <c r="C561">
        <v>1</v>
      </c>
    </row>
    <row r="562" spans="1:3" x14ac:dyDescent="0.25">
      <c r="A562" t="s">
        <v>1869</v>
      </c>
      <c r="B562" t="s">
        <v>773</v>
      </c>
      <c r="C562">
        <v>6</v>
      </c>
    </row>
    <row r="563" spans="1:3" x14ac:dyDescent="0.25">
      <c r="A563" t="s">
        <v>1870</v>
      </c>
      <c r="B563" t="s">
        <v>774</v>
      </c>
      <c r="C563">
        <v>3</v>
      </c>
    </row>
    <row r="564" spans="1:3" x14ac:dyDescent="0.25">
      <c r="A564" t="s">
        <v>1871</v>
      </c>
      <c r="B564" t="s">
        <v>775</v>
      </c>
      <c r="C564">
        <v>1</v>
      </c>
    </row>
    <row r="565" spans="1:3" x14ac:dyDescent="0.25">
      <c r="A565" t="s">
        <v>1872</v>
      </c>
      <c r="B565" t="s">
        <v>776</v>
      </c>
      <c r="C565">
        <v>8</v>
      </c>
    </row>
    <row r="566" spans="1:3" x14ac:dyDescent="0.25">
      <c r="A566" t="s">
        <v>1873</v>
      </c>
      <c r="B566" t="s">
        <v>777</v>
      </c>
      <c r="C566">
        <v>3</v>
      </c>
    </row>
    <row r="567" spans="1:3" x14ac:dyDescent="0.25">
      <c r="A567" t="s">
        <v>1874</v>
      </c>
      <c r="B567" t="s">
        <v>778</v>
      </c>
      <c r="C567">
        <v>1</v>
      </c>
    </row>
    <row r="568" spans="1:3" x14ac:dyDescent="0.25">
      <c r="A568" t="s">
        <v>1875</v>
      </c>
      <c r="B568" t="s">
        <v>779</v>
      </c>
      <c r="C568">
        <v>1</v>
      </c>
    </row>
    <row r="569" spans="1:3" x14ac:dyDescent="0.25">
      <c r="A569" t="s">
        <v>1876</v>
      </c>
      <c r="B569" t="s">
        <v>1269</v>
      </c>
      <c r="C569">
        <v>1</v>
      </c>
    </row>
    <row r="570" spans="1:3" x14ac:dyDescent="0.25">
      <c r="A570" t="s">
        <v>1877</v>
      </c>
      <c r="B570" t="s">
        <v>780</v>
      </c>
      <c r="C570">
        <v>1</v>
      </c>
    </row>
    <row r="571" spans="1:3" x14ac:dyDescent="0.25">
      <c r="A571" t="s">
        <v>1878</v>
      </c>
      <c r="B571" t="s">
        <v>781</v>
      </c>
      <c r="C571">
        <v>22</v>
      </c>
    </row>
    <row r="572" spans="1:3" x14ac:dyDescent="0.25">
      <c r="A572" t="s">
        <v>1879</v>
      </c>
      <c r="B572" t="s">
        <v>782</v>
      </c>
      <c r="C572">
        <v>1</v>
      </c>
    </row>
    <row r="573" spans="1:3" x14ac:dyDescent="0.25">
      <c r="A573" t="s">
        <v>1880</v>
      </c>
      <c r="B573" t="s">
        <v>783</v>
      </c>
      <c r="C573">
        <v>53</v>
      </c>
    </row>
    <row r="574" spans="1:3" x14ac:dyDescent="0.25">
      <c r="A574" t="s">
        <v>1881</v>
      </c>
      <c r="B574" t="s">
        <v>784</v>
      </c>
      <c r="C574">
        <v>2</v>
      </c>
    </row>
    <row r="575" spans="1:3" x14ac:dyDescent="0.25">
      <c r="A575" t="s">
        <v>1882</v>
      </c>
      <c r="B575" t="s">
        <v>785</v>
      </c>
      <c r="C575">
        <v>1</v>
      </c>
    </row>
    <row r="576" spans="1:3" x14ac:dyDescent="0.25">
      <c r="A576" t="s">
        <v>1883</v>
      </c>
      <c r="B576" t="s">
        <v>786</v>
      </c>
      <c r="C576">
        <v>2</v>
      </c>
    </row>
    <row r="577" spans="1:3" x14ac:dyDescent="0.25">
      <c r="A577" t="s">
        <v>1884</v>
      </c>
      <c r="B577" t="s">
        <v>787</v>
      </c>
      <c r="C577">
        <v>7</v>
      </c>
    </row>
    <row r="578" spans="1:3" x14ac:dyDescent="0.25">
      <c r="A578" t="s">
        <v>1885</v>
      </c>
      <c r="B578" t="s">
        <v>788</v>
      </c>
      <c r="C578">
        <v>3</v>
      </c>
    </row>
    <row r="579" spans="1:3" x14ac:dyDescent="0.25">
      <c r="A579" t="s">
        <v>1886</v>
      </c>
      <c r="B579" t="s">
        <v>1268</v>
      </c>
      <c r="C579">
        <v>2</v>
      </c>
    </row>
    <row r="580" spans="1:3" x14ac:dyDescent="0.25">
      <c r="A580" t="s">
        <v>1887</v>
      </c>
      <c r="B580" t="s">
        <v>789</v>
      </c>
      <c r="C580">
        <v>1</v>
      </c>
    </row>
    <row r="581" spans="1:3" x14ac:dyDescent="0.25">
      <c r="A581" t="s">
        <v>1888</v>
      </c>
      <c r="B581" t="s">
        <v>790</v>
      </c>
      <c r="C581">
        <v>1</v>
      </c>
    </row>
    <row r="582" spans="1:3" x14ac:dyDescent="0.25">
      <c r="A582" t="s">
        <v>1889</v>
      </c>
      <c r="B582" t="s">
        <v>791</v>
      </c>
      <c r="C582">
        <v>4</v>
      </c>
    </row>
    <row r="583" spans="1:3" x14ac:dyDescent="0.25">
      <c r="A583" t="s">
        <v>1890</v>
      </c>
      <c r="B583" t="s">
        <v>792</v>
      </c>
      <c r="C583">
        <v>1</v>
      </c>
    </row>
    <row r="584" spans="1:3" x14ac:dyDescent="0.25">
      <c r="A584" t="s">
        <v>1891</v>
      </c>
      <c r="B584" t="s">
        <v>793</v>
      </c>
      <c r="C584">
        <v>1</v>
      </c>
    </row>
    <row r="585" spans="1:3" x14ac:dyDescent="0.25">
      <c r="A585" t="s">
        <v>1892</v>
      </c>
      <c r="B585" t="s">
        <v>794</v>
      </c>
      <c r="C585">
        <v>2</v>
      </c>
    </row>
    <row r="586" spans="1:3" x14ac:dyDescent="0.25">
      <c r="A586" t="s">
        <v>1893</v>
      </c>
      <c r="B586" t="s">
        <v>795</v>
      </c>
      <c r="C586">
        <v>3</v>
      </c>
    </row>
    <row r="587" spans="1:3" x14ac:dyDescent="0.25">
      <c r="A587" t="s">
        <v>1894</v>
      </c>
      <c r="B587" t="s">
        <v>796</v>
      </c>
      <c r="C587">
        <v>1</v>
      </c>
    </row>
    <row r="588" spans="1:3" x14ac:dyDescent="0.25">
      <c r="A588" t="s">
        <v>1895</v>
      </c>
      <c r="B588" t="s">
        <v>797</v>
      </c>
      <c r="C588">
        <v>1</v>
      </c>
    </row>
    <row r="589" spans="1:3" x14ac:dyDescent="0.25">
      <c r="A589" t="s">
        <v>1896</v>
      </c>
      <c r="B589" t="s">
        <v>798</v>
      </c>
      <c r="C589">
        <v>1</v>
      </c>
    </row>
    <row r="590" spans="1:3" x14ac:dyDescent="0.25">
      <c r="A590" t="s">
        <v>1897</v>
      </c>
      <c r="B590" t="s">
        <v>799</v>
      </c>
      <c r="C590">
        <v>1</v>
      </c>
    </row>
    <row r="591" spans="1:3" x14ac:dyDescent="0.25">
      <c r="A591" t="s">
        <v>1898</v>
      </c>
      <c r="B591" t="s">
        <v>800</v>
      </c>
      <c r="C591">
        <v>1</v>
      </c>
    </row>
    <row r="592" spans="1:3" x14ac:dyDescent="0.25">
      <c r="A592" t="s">
        <v>1899</v>
      </c>
      <c r="B592" t="s">
        <v>801</v>
      </c>
      <c r="C592">
        <v>3</v>
      </c>
    </row>
    <row r="593" spans="1:3" x14ac:dyDescent="0.25">
      <c r="A593" t="s">
        <v>1900</v>
      </c>
      <c r="B593" t="s">
        <v>802</v>
      </c>
      <c r="C593">
        <v>1</v>
      </c>
    </row>
    <row r="594" spans="1:3" x14ac:dyDescent="0.25">
      <c r="A594" t="s">
        <v>1901</v>
      </c>
      <c r="B594" t="s">
        <v>803</v>
      </c>
      <c r="C594">
        <v>2</v>
      </c>
    </row>
    <row r="595" spans="1:3" x14ac:dyDescent="0.25">
      <c r="A595" t="s">
        <v>1902</v>
      </c>
      <c r="B595" t="s">
        <v>804</v>
      </c>
      <c r="C595">
        <v>1</v>
      </c>
    </row>
    <row r="596" spans="1:3" x14ac:dyDescent="0.25">
      <c r="A596" t="s">
        <v>1903</v>
      </c>
      <c r="B596" t="s">
        <v>805</v>
      </c>
      <c r="C596">
        <v>1</v>
      </c>
    </row>
    <row r="597" spans="1:3" x14ac:dyDescent="0.25">
      <c r="A597" t="s">
        <v>1904</v>
      </c>
      <c r="B597" t="s">
        <v>806</v>
      </c>
      <c r="C597">
        <v>3</v>
      </c>
    </row>
    <row r="598" spans="1:3" x14ac:dyDescent="0.25">
      <c r="A598" t="s">
        <v>1905</v>
      </c>
      <c r="B598" t="s">
        <v>807</v>
      </c>
      <c r="C598">
        <v>79</v>
      </c>
    </row>
    <row r="599" spans="1:3" x14ac:dyDescent="0.25">
      <c r="A599" t="s">
        <v>1906</v>
      </c>
      <c r="B599" t="s">
        <v>808</v>
      </c>
      <c r="C599">
        <v>175</v>
      </c>
    </row>
    <row r="600" spans="1:3" x14ac:dyDescent="0.25">
      <c r="A600" t="s">
        <v>1907</v>
      </c>
      <c r="B600" t="s">
        <v>809</v>
      </c>
      <c r="C600">
        <v>1</v>
      </c>
    </row>
    <row r="601" spans="1:3" x14ac:dyDescent="0.25">
      <c r="A601" t="s">
        <v>1908</v>
      </c>
      <c r="B601" t="s">
        <v>810</v>
      </c>
      <c r="C601">
        <v>6</v>
      </c>
    </row>
    <row r="602" spans="1:3" x14ac:dyDescent="0.25">
      <c r="A602" t="s">
        <v>1909</v>
      </c>
      <c r="B602" t="s">
        <v>811</v>
      </c>
      <c r="C602">
        <v>3</v>
      </c>
    </row>
    <row r="603" spans="1:3" x14ac:dyDescent="0.25">
      <c r="A603" t="s">
        <v>1910</v>
      </c>
      <c r="B603" t="s">
        <v>812</v>
      </c>
      <c r="C603">
        <v>7</v>
      </c>
    </row>
    <row r="604" spans="1:3" x14ac:dyDescent="0.25">
      <c r="A604" t="s">
        <v>1911</v>
      </c>
      <c r="B604" t="s">
        <v>813</v>
      </c>
      <c r="C604">
        <v>1</v>
      </c>
    </row>
    <row r="605" spans="1:3" x14ac:dyDescent="0.25">
      <c r="A605" t="s">
        <v>1912</v>
      </c>
      <c r="B605" t="s">
        <v>814</v>
      </c>
      <c r="C605">
        <v>7</v>
      </c>
    </row>
    <row r="606" spans="1:3" x14ac:dyDescent="0.25">
      <c r="A606" t="s">
        <v>1913</v>
      </c>
      <c r="B606" t="s">
        <v>815</v>
      </c>
      <c r="C606">
        <v>2</v>
      </c>
    </row>
    <row r="607" spans="1:3" x14ac:dyDescent="0.25">
      <c r="A607" t="s">
        <v>1914</v>
      </c>
      <c r="B607" t="s">
        <v>816</v>
      </c>
      <c r="C607">
        <v>1</v>
      </c>
    </row>
    <row r="608" spans="1:3" x14ac:dyDescent="0.25">
      <c r="A608" t="s">
        <v>1915</v>
      </c>
      <c r="B608" t="s">
        <v>817</v>
      </c>
      <c r="C608">
        <v>3</v>
      </c>
    </row>
    <row r="609" spans="1:3" x14ac:dyDescent="0.25">
      <c r="A609" t="s">
        <v>1916</v>
      </c>
      <c r="B609" t="s">
        <v>818</v>
      </c>
      <c r="C609">
        <v>3</v>
      </c>
    </row>
    <row r="610" spans="1:3" x14ac:dyDescent="0.25">
      <c r="A610" t="s">
        <v>1917</v>
      </c>
      <c r="B610" t="s">
        <v>819</v>
      </c>
      <c r="C610">
        <v>16</v>
      </c>
    </row>
    <row r="611" spans="1:3" x14ac:dyDescent="0.25">
      <c r="A611" t="s">
        <v>1918</v>
      </c>
      <c r="B611" t="s">
        <v>820</v>
      </c>
      <c r="C611">
        <v>4</v>
      </c>
    </row>
    <row r="612" spans="1:3" x14ac:dyDescent="0.25">
      <c r="A612" t="s">
        <v>1919</v>
      </c>
      <c r="B612" t="s">
        <v>821</v>
      </c>
      <c r="C612">
        <v>5</v>
      </c>
    </row>
    <row r="613" spans="1:3" x14ac:dyDescent="0.25">
      <c r="A613" t="s">
        <v>1920</v>
      </c>
      <c r="B613" t="s">
        <v>822</v>
      </c>
      <c r="C613">
        <v>3</v>
      </c>
    </row>
    <row r="614" spans="1:3" x14ac:dyDescent="0.25">
      <c r="A614" t="s">
        <v>1921</v>
      </c>
      <c r="B614" t="s">
        <v>823</v>
      </c>
      <c r="C614">
        <v>15</v>
      </c>
    </row>
    <row r="615" spans="1:3" x14ac:dyDescent="0.25">
      <c r="A615" t="s">
        <v>1922</v>
      </c>
      <c r="B615" t="s">
        <v>824</v>
      </c>
      <c r="C615">
        <v>7</v>
      </c>
    </row>
    <row r="616" spans="1:3" x14ac:dyDescent="0.25">
      <c r="A616" t="s">
        <v>1923</v>
      </c>
      <c r="B616" t="s">
        <v>825</v>
      </c>
      <c r="C616">
        <v>6</v>
      </c>
    </row>
    <row r="617" spans="1:3" x14ac:dyDescent="0.25">
      <c r="A617" t="s">
        <v>1924</v>
      </c>
      <c r="B617" t="s">
        <v>826</v>
      </c>
      <c r="C617">
        <v>25</v>
      </c>
    </row>
    <row r="618" spans="1:3" x14ac:dyDescent="0.25">
      <c r="A618" t="s">
        <v>1925</v>
      </c>
      <c r="B618" t="s">
        <v>827</v>
      </c>
      <c r="C618">
        <v>4</v>
      </c>
    </row>
    <row r="619" spans="1:3" x14ac:dyDescent="0.25">
      <c r="A619" t="s">
        <v>1926</v>
      </c>
      <c r="B619" t="s">
        <v>828</v>
      </c>
      <c r="C619">
        <v>1</v>
      </c>
    </row>
    <row r="620" spans="1:3" x14ac:dyDescent="0.25">
      <c r="A620" t="s">
        <v>1927</v>
      </c>
      <c r="B620" t="s">
        <v>829</v>
      </c>
      <c r="C620">
        <v>11</v>
      </c>
    </row>
    <row r="621" spans="1:3" x14ac:dyDescent="0.25">
      <c r="A621" t="s">
        <v>1928</v>
      </c>
      <c r="B621" t="s">
        <v>830</v>
      </c>
      <c r="C621">
        <v>3</v>
      </c>
    </row>
    <row r="622" spans="1:3" x14ac:dyDescent="0.25">
      <c r="A622" t="s">
        <v>1929</v>
      </c>
      <c r="B622" t="s">
        <v>831</v>
      </c>
      <c r="C622">
        <v>2</v>
      </c>
    </row>
    <row r="623" spans="1:3" x14ac:dyDescent="0.25">
      <c r="A623" t="s">
        <v>1930</v>
      </c>
      <c r="B623" t="s">
        <v>832</v>
      </c>
      <c r="C623">
        <v>9</v>
      </c>
    </row>
    <row r="624" spans="1:3" x14ac:dyDescent="0.25">
      <c r="A624" t="s">
        <v>1931</v>
      </c>
      <c r="B624" t="s">
        <v>833</v>
      </c>
      <c r="C624">
        <v>5</v>
      </c>
    </row>
    <row r="625" spans="1:3" x14ac:dyDescent="0.25">
      <c r="A625" t="s">
        <v>1932</v>
      </c>
      <c r="B625" t="s">
        <v>834</v>
      </c>
      <c r="C625">
        <v>2</v>
      </c>
    </row>
    <row r="626" spans="1:3" x14ac:dyDescent="0.25">
      <c r="A626" t="s">
        <v>1933</v>
      </c>
      <c r="B626" t="s">
        <v>835</v>
      </c>
      <c r="C626">
        <v>2</v>
      </c>
    </row>
    <row r="627" spans="1:3" x14ac:dyDescent="0.25">
      <c r="A627" t="s">
        <v>1934</v>
      </c>
      <c r="B627" t="s">
        <v>836</v>
      </c>
      <c r="C627">
        <v>9</v>
      </c>
    </row>
    <row r="628" spans="1:3" x14ac:dyDescent="0.25">
      <c r="A628" t="s">
        <v>1935</v>
      </c>
      <c r="B628" t="s">
        <v>837</v>
      </c>
      <c r="C628">
        <v>6</v>
      </c>
    </row>
    <row r="629" spans="1:3" x14ac:dyDescent="0.25">
      <c r="A629" t="s">
        <v>1936</v>
      </c>
      <c r="B629" t="s">
        <v>838</v>
      </c>
      <c r="C629">
        <v>6</v>
      </c>
    </row>
    <row r="630" spans="1:3" x14ac:dyDescent="0.25">
      <c r="A630" t="s">
        <v>1937</v>
      </c>
      <c r="B630" t="s">
        <v>839</v>
      </c>
      <c r="C630">
        <v>14</v>
      </c>
    </row>
    <row r="631" spans="1:3" x14ac:dyDescent="0.25">
      <c r="A631" t="s">
        <v>1938</v>
      </c>
      <c r="B631" t="s">
        <v>840</v>
      </c>
      <c r="C631">
        <v>5</v>
      </c>
    </row>
    <row r="632" spans="1:3" x14ac:dyDescent="0.25">
      <c r="A632" t="s">
        <v>1939</v>
      </c>
      <c r="B632" t="s">
        <v>841</v>
      </c>
      <c r="C632">
        <v>16</v>
      </c>
    </row>
    <row r="633" spans="1:3" x14ac:dyDescent="0.25">
      <c r="A633" t="s">
        <v>1940</v>
      </c>
      <c r="B633" t="s">
        <v>842</v>
      </c>
      <c r="C633">
        <v>13</v>
      </c>
    </row>
    <row r="634" spans="1:3" x14ac:dyDescent="0.25">
      <c r="A634" t="s">
        <v>1941</v>
      </c>
      <c r="B634" t="s">
        <v>843</v>
      </c>
      <c r="C634">
        <v>19</v>
      </c>
    </row>
    <row r="635" spans="1:3" x14ac:dyDescent="0.25">
      <c r="A635" t="s">
        <v>1942</v>
      </c>
      <c r="B635" t="s">
        <v>844</v>
      </c>
      <c r="C635">
        <v>28</v>
      </c>
    </row>
    <row r="636" spans="1:3" x14ac:dyDescent="0.25">
      <c r="A636" t="s">
        <v>1943</v>
      </c>
      <c r="B636" t="s">
        <v>845</v>
      </c>
      <c r="C636">
        <v>13</v>
      </c>
    </row>
    <row r="637" spans="1:3" x14ac:dyDescent="0.25">
      <c r="A637" t="s">
        <v>1944</v>
      </c>
      <c r="B637" t="s">
        <v>846</v>
      </c>
      <c r="C637">
        <v>4</v>
      </c>
    </row>
    <row r="638" spans="1:3" x14ac:dyDescent="0.25">
      <c r="A638" t="s">
        <v>1945</v>
      </c>
      <c r="B638" t="s">
        <v>847</v>
      </c>
      <c r="C638">
        <v>2</v>
      </c>
    </row>
    <row r="639" spans="1:3" x14ac:dyDescent="0.25">
      <c r="A639" t="s">
        <v>1946</v>
      </c>
      <c r="B639" t="s">
        <v>848</v>
      </c>
      <c r="C639">
        <v>1</v>
      </c>
    </row>
    <row r="640" spans="1:3" x14ac:dyDescent="0.25">
      <c r="A640" t="s">
        <v>1947</v>
      </c>
      <c r="B640" t="s">
        <v>849</v>
      </c>
      <c r="C640">
        <v>1</v>
      </c>
    </row>
    <row r="641" spans="1:3" x14ac:dyDescent="0.25">
      <c r="A641" t="s">
        <v>1948</v>
      </c>
      <c r="B641" t="s">
        <v>850</v>
      </c>
      <c r="C641">
        <v>5</v>
      </c>
    </row>
    <row r="642" spans="1:3" x14ac:dyDescent="0.25">
      <c r="A642" t="s">
        <v>1949</v>
      </c>
      <c r="B642" t="s">
        <v>851</v>
      </c>
      <c r="C642">
        <v>2</v>
      </c>
    </row>
    <row r="643" spans="1:3" x14ac:dyDescent="0.25">
      <c r="A643" t="s">
        <v>1950</v>
      </c>
      <c r="B643" t="s">
        <v>852</v>
      </c>
      <c r="C643">
        <v>2</v>
      </c>
    </row>
    <row r="644" spans="1:3" x14ac:dyDescent="0.25">
      <c r="A644" t="s">
        <v>1951</v>
      </c>
      <c r="B644" t="s">
        <v>853</v>
      </c>
      <c r="C644">
        <v>1</v>
      </c>
    </row>
    <row r="645" spans="1:3" x14ac:dyDescent="0.25">
      <c r="A645" t="s">
        <v>1952</v>
      </c>
      <c r="B645" t="s">
        <v>854</v>
      </c>
      <c r="C645">
        <v>4</v>
      </c>
    </row>
    <row r="646" spans="1:3" x14ac:dyDescent="0.25">
      <c r="A646" t="s">
        <v>1953</v>
      </c>
      <c r="B646" t="s">
        <v>855</v>
      </c>
      <c r="C646">
        <v>1</v>
      </c>
    </row>
    <row r="647" spans="1:3" x14ac:dyDescent="0.25">
      <c r="A647" t="s">
        <v>1954</v>
      </c>
      <c r="B647" t="s">
        <v>856</v>
      </c>
      <c r="C647">
        <v>1</v>
      </c>
    </row>
    <row r="648" spans="1:3" x14ac:dyDescent="0.25">
      <c r="A648" t="s">
        <v>1955</v>
      </c>
      <c r="B648" t="s">
        <v>857</v>
      </c>
      <c r="C648">
        <v>8</v>
      </c>
    </row>
    <row r="649" spans="1:3" x14ac:dyDescent="0.25">
      <c r="A649" t="s">
        <v>1956</v>
      </c>
      <c r="B649" t="s">
        <v>858</v>
      </c>
      <c r="C649">
        <v>1</v>
      </c>
    </row>
    <row r="650" spans="1:3" x14ac:dyDescent="0.25">
      <c r="A650" t="s">
        <v>1957</v>
      </c>
      <c r="B650" t="s">
        <v>859</v>
      </c>
      <c r="C650">
        <v>2</v>
      </c>
    </row>
    <row r="651" spans="1:3" x14ac:dyDescent="0.25">
      <c r="A651" t="s">
        <v>1958</v>
      </c>
      <c r="B651" t="s">
        <v>860</v>
      </c>
      <c r="C651">
        <v>3</v>
      </c>
    </row>
    <row r="652" spans="1:3" x14ac:dyDescent="0.25">
      <c r="A652" t="s">
        <v>1959</v>
      </c>
      <c r="B652" t="s">
        <v>861</v>
      </c>
      <c r="C652">
        <v>2</v>
      </c>
    </row>
    <row r="653" spans="1:3" x14ac:dyDescent="0.25">
      <c r="A653" t="s">
        <v>1960</v>
      </c>
      <c r="B653" t="s">
        <v>862</v>
      </c>
      <c r="C653">
        <v>1</v>
      </c>
    </row>
    <row r="654" spans="1:3" x14ac:dyDescent="0.25">
      <c r="A654" t="s">
        <v>1961</v>
      </c>
      <c r="B654" t="s">
        <v>863</v>
      </c>
      <c r="C654">
        <v>1</v>
      </c>
    </row>
    <row r="655" spans="1:3" x14ac:dyDescent="0.25">
      <c r="A655" t="s">
        <v>1962</v>
      </c>
      <c r="B655" t="s">
        <v>864</v>
      </c>
      <c r="C655">
        <v>4</v>
      </c>
    </row>
    <row r="656" spans="1:3" x14ac:dyDescent="0.25">
      <c r="A656" t="s">
        <v>1963</v>
      </c>
      <c r="B656" t="s">
        <v>865</v>
      </c>
      <c r="C656">
        <v>3</v>
      </c>
    </row>
    <row r="657" spans="1:3" x14ac:dyDescent="0.25">
      <c r="A657" t="s">
        <v>1964</v>
      </c>
      <c r="B657" t="s">
        <v>866</v>
      </c>
      <c r="C657">
        <v>3</v>
      </c>
    </row>
    <row r="658" spans="1:3" x14ac:dyDescent="0.25">
      <c r="A658" t="s">
        <v>1965</v>
      </c>
      <c r="B658" t="s">
        <v>867</v>
      </c>
      <c r="C658">
        <v>3</v>
      </c>
    </row>
    <row r="659" spans="1:3" x14ac:dyDescent="0.25">
      <c r="A659" t="s">
        <v>1966</v>
      </c>
      <c r="B659" t="s">
        <v>868</v>
      </c>
      <c r="C659">
        <v>1</v>
      </c>
    </row>
    <row r="660" spans="1:3" x14ac:dyDescent="0.25">
      <c r="A660" t="s">
        <v>1967</v>
      </c>
      <c r="B660" t="s">
        <v>869</v>
      </c>
      <c r="C660">
        <v>3</v>
      </c>
    </row>
    <row r="661" spans="1:3" x14ac:dyDescent="0.25">
      <c r="A661" t="s">
        <v>1968</v>
      </c>
      <c r="B661" t="s">
        <v>870</v>
      </c>
      <c r="C661">
        <v>1</v>
      </c>
    </row>
    <row r="662" spans="1:3" x14ac:dyDescent="0.25">
      <c r="A662" t="s">
        <v>1969</v>
      </c>
      <c r="B662" t="s">
        <v>871</v>
      </c>
      <c r="C662">
        <v>6</v>
      </c>
    </row>
    <row r="663" spans="1:3" x14ac:dyDescent="0.25">
      <c r="A663" t="s">
        <v>1970</v>
      </c>
      <c r="B663" t="s">
        <v>872</v>
      </c>
      <c r="C663">
        <v>2</v>
      </c>
    </row>
    <row r="664" spans="1:3" x14ac:dyDescent="0.25">
      <c r="A664" t="s">
        <v>1971</v>
      </c>
      <c r="B664" t="s">
        <v>873</v>
      </c>
      <c r="C664">
        <v>1</v>
      </c>
    </row>
    <row r="665" spans="1:3" x14ac:dyDescent="0.25">
      <c r="A665" t="s">
        <v>1972</v>
      </c>
      <c r="B665" t="s">
        <v>874</v>
      </c>
      <c r="C665">
        <v>1</v>
      </c>
    </row>
    <row r="666" spans="1:3" x14ac:dyDescent="0.25">
      <c r="A666" t="s">
        <v>1973</v>
      </c>
      <c r="B666" t="s">
        <v>875</v>
      </c>
      <c r="C666">
        <v>9</v>
      </c>
    </row>
    <row r="667" spans="1:3" x14ac:dyDescent="0.25">
      <c r="A667" t="s">
        <v>1974</v>
      </c>
      <c r="B667" t="s">
        <v>876</v>
      </c>
      <c r="C667">
        <v>2</v>
      </c>
    </row>
    <row r="668" spans="1:3" x14ac:dyDescent="0.25">
      <c r="A668" t="s">
        <v>1975</v>
      </c>
      <c r="B668" t="s">
        <v>877</v>
      </c>
      <c r="C668">
        <v>9</v>
      </c>
    </row>
    <row r="669" spans="1:3" x14ac:dyDescent="0.25">
      <c r="A669" t="s">
        <v>1976</v>
      </c>
      <c r="B669" t="s">
        <v>878</v>
      </c>
      <c r="C669">
        <v>2</v>
      </c>
    </row>
    <row r="670" spans="1:3" x14ac:dyDescent="0.25">
      <c r="A670" t="s">
        <v>1977</v>
      </c>
      <c r="B670" t="s">
        <v>879</v>
      </c>
      <c r="C670">
        <v>6</v>
      </c>
    </row>
    <row r="671" spans="1:3" x14ac:dyDescent="0.25">
      <c r="A671" t="s">
        <v>1978</v>
      </c>
      <c r="B671" t="s">
        <v>880</v>
      </c>
      <c r="C671">
        <v>1</v>
      </c>
    </row>
    <row r="672" spans="1:3" x14ac:dyDescent="0.25">
      <c r="A672" t="s">
        <v>1979</v>
      </c>
      <c r="B672" t="s">
        <v>881</v>
      </c>
      <c r="C672">
        <v>4</v>
      </c>
    </row>
    <row r="673" spans="1:3" x14ac:dyDescent="0.25">
      <c r="A673" t="s">
        <v>1980</v>
      </c>
      <c r="B673" t="s">
        <v>882</v>
      </c>
      <c r="C673">
        <v>7</v>
      </c>
    </row>
    <row r="674" spans="1:3" x14ac:dyDescent="0.25">
      <c r="A674" t="s">
        <v>1981</v>
      </c>
      <c r="B674" t="s">
        <v>883</v>
      </c>
      <c r="C674">
        <v>3</v>
      </c>
    </row>
    <row r="675" spans="1:3" x14ac:dyDescent="0.25">
      <c r="A675" t="s">
        <v>1982</v>
      </c>
      <c r="B675" t="s">
        <v>884</v>
      </c>
      <c r="C675">
        <v>1</v>
      </c>
    </row>
    <row r="676" spans="1:3" x14ac:dyDescent="0.25">
      <c r="A676" t="s">
        <v>1983</v>
      </c>
      <c r="B676" t="s">
        <v>885</v>
      </c>
      <c r="C676">
        <v>1</v>
      </c>
    </row>
    <row r="677" spans="1:3" x14ac:dyDescent="0.25">
      <c r="A677" t="s">
        <v>1984</v>
      </c>
      <c r="B677" t="s">
        <v>886</v>
      </c>
      <c r="C677">
        <v>2</v>
      </c>
    </row>
    <row r="678" spans="1:3" x14ac:dyDescent="0.25">
      <c r="A678" t="s">
        <v>1985</v>
      </c>
      <c r="B678" t="s">
        <v>887</v>
      </c>
      <c r="C678">
        <v>1</v>
      </c>
    </row>
    <row r="679" spans="1:3" x14ac:dyDescent="0.25">
      <c r="A679" t="s">
        <v>1986</v>
      </c>
      <c r="B679" t="s">
        <v>888</v>
      </c>
      <c r="C679">
        <v>2</v>
      </c>
    </row>
    <row r="680" spans="1:3" x14ac:dyDescent="0.25">
      <c r="A680" t="s">
        <v>1987</v>
      </c>
      <c r="B680" t="s">
        <v>889</v>
      </c>
      <c r="C680">
        <v>1</v>
      </c>
    </row>
    <row r="681" spans="1:3" x14ac:dyDescent="0.25">
      <c r="A681" t="s">
        <v>1988</v>
      </c>
      <c r="B681" t="s">
        <v>890</v>
      </c>
      <c r="C681">
        <v>1</v>
      </c>
    </row>
    <row r="682" spans="1:3" x14ac:dyDescent="0.25">
      <c r="A682" t="s">
        <v>1989</v>
      </c>
      <c r="B682" t="s">
        <v>891</v>
      </c>
      <c r="C682">
        <v>5</v>
      </c>
    </row>
    <row r="683" spans="1:3" x14ac:dyDescent="0.25">
      <c r="A683" t="s">
        <v>1990</v>
      </c>
      <c r="B683" t="s">
        <v>892</v>
      </c>
      <c r="C683">
        <v>13</v>
      </c>
    </row>
    <row r="684" spans="1:3" x14ac:dyDescent="0.25">
      <c r="A684" t="s">
        <v>1991</v>
      </c>
      <c r="B684" t="s">
        <v>893</v>
      </c>
      <c r="C684">
        <v>5</v>
      </c>
    </row>
    <row r="685" spans="1:3" x14ac:dyDescent="0.25">
      <c r="A685" t="s">
        <v>1992</v>
      </c>
      <c r="B685" t="s">
        <v>894</v>
      </c>
      <c r="C685">
        <v>10</v>
      </c>
    </row>
    <row r="686" spans="1:3" x14ac:dyDescent="0.25">
      <c r="A686" t="s">
        <v>1993</v>
      </c>
      <c r="B686" t="s">
        <v>895</v>
      </c>
      <c r="C686">
        <v>22</v>
      </c>
    </row>
    <row r="687" spans="1:3" x14ac:dyDescent="0.25">
      <c r="A687" t="s">
        <v>1994</v>
      </c>
      <c r="B687" t="s">
        <v>896</v>
      </c>
      <c r="C687">
        <v>13</v>
      </c>
    </row>
    <row r="688" spans="1:3" x14ac:dyDescent="0.25">
      <c r="A688" t="s">
        <v>1995</v>
      </c>
      <c r="B688" t="s">
        <v>897</v>
      </c>
      <c r="C688">
        <v>6</v>
      </c>
    </row>
    <row r="689" spans="1:3" x14ac:dyDescent="0.25">
      <c r="A689" t="s">
        <v>1996</v>
      </c>
      <c r="B689" t="s">
        <v>898</v>
      </c>
      <c r="C689">
        <v>11</v>
      </c>
    </row>
    <row r="690" spans="1:3" x14ac:dyDescent="0.25">
      <c r="A690" t="s">
        <v>1997</v>
      </c>
      <c r="B690" t="s">
        <v>899</v>
      </c>
      <c r="C690">
        <v>15</v>
      </c>
    </row>
    <row r="691" spans="1:3" x14ac:dyDescent="0.25">
      <c r="A691" t="s">
        <v>1998</v>
      </c>
      <c r="B691" t="s">
        <v>900</v>
      </c>
      <c r="C691">
        <v>15</v>
      </c>
    </row>
    <row r="692" spans="1:3" x14ac:dyDescent="0.25">
      <c r="A692" t="s">
        <v>1999</v>
      </c>
      <c r="B692" t="s">
        <v>901</v>
      </c>
      <c r="C692">
        <v>10</v>
      </c>
    </row>
    <row r="693" spans="1:3" x14ac:dyDescent="0.25">
      <c r="A693" t="s">
        <v>2000</v>
      </c>
      <c r="B693" t="s">
        <v>902</v>
      </c>
      <c r="C693">
        <v>11</v>
      </c>
    </row>
    <row r="694" spans="1:3" x14ac:dyDescent="0.25">
      <c r="A694" t="s">
        <v>2001</v>
      </c>
      <c r="B694" t="s">
        <v>903</v>
      </c>
      <c r="C694">
        <v>3</v>
      </c>
    </row>
    <row r="695" spans="1:3" x14ac:dyDescent="0.25">
      <c r="A695" t="s">
        <v>2002</v>
      </c>
      <c r="B695" t="s">
        <v>904</v>
      </c>
      <c r="C695">
        <v>2</v>
      </c>
    </row>
    <row r="696" spans="1:3" x14ac:dyDescent="0.25">
      <c r="A696" t="s">
        <v>2003</v>
      </c>
      <c r="B696" t="s">
        <v>905</v>
      </c>
      <c r="C696">
        <v>2</v>
      </c>
    </row>
    <row r="697" spans="1:3" x14ac:dyDescent="0.25">
      <c r="A697" t="s">
        <v>2004</v>
      </c>
      <c r="B697" t="s">
        <v>906</v>
      </c>
      <c r="C697">
        <v>1</v>
      </c>
    </row>
    <row r="698" spans="1:3" x14ac:dyDescent="0.25">
      <c r="A698" t="s">
        <v>2005</v>
      </c>
      <c r="B698" t="s">
        <v>907</v>
      </c>
      <c r="C698">
        <v>2</v>
      </c>
    </row>
    <row r="699" spans="1:3" x14ac:dyDescent="0.25">
      <c r="A699" t="s">
        <v>2006</v>
      </c>
      <c r="B699" t="s">
        <v>908</v>
      </c>
      <c r="C699">
        <v>9</v>
      </c>
    </row>
    <row r="700" spans="1:3" x14ac:dyDescent="0.25">
      <c r="A700" t="s">
        <v>2007</v>
      </c>
      <c r="B700" t="s">
        <v>909</v>
      </c>
      <c r="C700">
        <v>2</v>
      </c>
    </row>
    <row r="701" spans="1:3" x14ac:dyDescent="0.25">
      <c r="A701" t="s">
        <v>2008</v>
      </c>
      <c r="B701" t="s">
        <v>910</v>
      </c>
      <c r="C701">
        <v>3</v>
      </c>
    </row>
    <row r="702" spans="1:3" x14ac:dyDescent="0.25">
      <c r="A702" t="s">
        <v>2009</v>
      </c>
      <c r="B702" t="s">
        <v>911</v>
      </c>
      <c r="C702">
        <v>9</v>
      </c>
    </row>
    <row r="703" spans="1:3" x14ac:dyDescent="0.25">
      <c r="A703" t="s">
        <v>2010</v>
      </c>
      <c r="B703" t="s">
        <v>912</v>
      </c>
      <c r="C703">
        <v>1</v>
      </c>
    </row>
    <row r="704" spans="1:3" x14ac:dyDescent="0.25">
      <c r="A704" t="s">
        <v>2011</v>
      </c>
      <c r="B704" t="s">
        <v>913</v>
      </c>
      <c r="C704">
        <v>1</v>
      </c>
    </row>
    <row r="705" spans="1:3" x14ac:dyDescent="0.25">
      <c r="A705" t="s">
        <v>2012</v>
      </c>
      <c r="B705" t="s">
        <v>914</v>
      </c>
      <c r="C705">
        <v>1</v>
      </c>
    </row>
    <row r="706" spans="1:3" x14ac:dyDescent="0.25">
      <c r="A706" t="s">
        <v>2013</v>
      </c>
      <c r="B706" t="s">
        <v>915</v>
      </c>
      <c r="C706">
        <v>2</v>
      </c>
    </row>
    <row r="707" spans="1:3" x14ac:dyDescent="0.25">
      <c r="A707" t="s">
        <v>2014</v>
      </c>
      <c r="B707" t="s">
        <v>916</v>
      </c>
      <c r="C707">
        <v>4</v>
      </c>
    </row>
    <row r="708" spans="1:3" x14ac:dyDescent="0.25">
      <c r="A708" t="s">
        <v>2015</v>
      </c>
      <c r="B708" t="s">
        <v>917</v>
      </c>
      <c r="C708">
        <v>7</v>
      </c>
    </row>
    <row r="709" spans="1:3" x14ac:dyDescent="0.25">
      <c r="A709" t="s">
        <v>2016</v>
      </c>
      <c r="B709" t="s">
        <v>918</v>
      </c>
      <c r="C709">
        <v>18</v>
      </c>
    </row>
    <row r="710" spans="1:3" x14ac:dyDescent="0.25">
      <c r="A710" t="s">
        <v>2017</v>
      </c>
      <c r="B710" t="s">
        <v>919</v>
      </c>
      <c r="C710">
        <v>10</v>
      </c>
    </row>
    <row r="711" spans="1:3" x14ac:dyDescent="0.25">
      <c r="A711" t="s">
        <v>2018</v>
      </c>
      <c r="B711" t="s">
        <v>920</v>
      </c>
      <c r="C711">
        <v>2</v>
      </c>
    </row>
    <row r="712" spans="1:3" x14ac:dyDescent="0.25">
      <c r="A712" t="s">
        <v>2019</v>
      </c>
      <c r="B712" t="s">
        <v>678</v>
      </c>
      <c r="C712">
        <v>11</v>
      </c>
    </row>
    <row r="713" spans="1:3" x14ac:dyDescent="0.25">
      <c r="A713" t="s">
        <v>2020</v>
      </c>
      <c r="B713" t="s">
        <v>921</v>
      </c>
      <c r="C713">
        <v>2</v>
      </c>
    </row>
    <row r="714" spans="1:3" x14ac:dyDescent="0.25">
      <c r="A714" t="s">
        <v>2021</v>
      </c>
      <c r="B714" t="s">
        <v>922</v>
      </c>
      <c r="C714">
        <v>18</v>
      </c>
    </row>
    <row r="715" spans="1:3" x14ac:dyDescent="0.25">
      <c r="A715" t="s">
        <v>2022</v>
      </c>
      <c r="B715" t="s">
        <v>923</v>
      </c>
      <c r="C715">
        <v>38</v>
      </c>
    </row>
    <row r="716" spans="1:3" x14ac:dyDescent="0.25">
      <c r="A716" t="s">
        <v>2023</v>
      </c>
      <c r="B716" t="s">
        <v>924</v>
      </c>
      <c r="C716">
        <v>21</v>
      </c>
    </row>
    <row r="717" spans="1:3" x14ac:dyDescent="0.25">
      <c r="A717" t="s">
        <v>2024</v>
      </c>
      <c r="B717" t="s">
        <v>925</v>
      </c>
      <c r="C717">
        <v>50</v>
      </c>
    </row>
    <row r="718" spans="1:3" x14ac:dyDescent="0.25">
      <c r="A718" t="s">
        <v>2025</v>
      </c>
      <c r="B718" t="s">
        <v>926</v>
      </c>
      <c r="C718">
        <v>4</v>
      </c>
    </row>
    <row r="719" spans="1:3" x14ac:dyDescent="0.25">
      <c r="A719" t="s">
        <v>2026</v>
      </c>
      <c r="B719" t="s">
        <v>927</v>
      </c>
      <c r="C719">
        <v>8</v>
      </c>
    </row>
    <row r="720" spans="1:3" x14ac:dyDescent="0.25">
      <c r="A720" t="s">
        <v>2027</v>
      </c>
      <c r="B720" t="s">
        <v>928</v>
      </c>
      <c r="C720">
        <v>1</v>
      </c>
    </row>
    <row r="721" spans="1:3" x14ac:dyDescent="0.25">
      <c r="A721" t="s">
        <v>2028</v>
      </c>
      <c r="B721" t="s">
        <v>929</v>
      </c>
      <c r="C721">
        <v>4</v>
      </c>
    </row>
    <row r="722" spans="1:3" x14ac:dyDescent="0.25">
      <c r="A722" t="s">
        <v>2029</v>
      </c>
      <c r="B722" t="s">
        <v>930</v>
      </c>
      <c r="C722">
        <v>5</v>
      </c>
    </row>
    <row r="723" spans="1:3" x14ac:dyDescent="0.25">
      <c r="A723" t="s">
        <v>2030</v>
      </c>
      <c r="B723" t="s">
        <v>931</v>
      </c>
      <c r="C723">
        <v>1</v>
      </c>
    </row>
    <row r="724" spans="1:3" x14ac:dyDescent="0.25">
      <c r="A724" t="s">
        <v>2031</v>
      </c>
      <c r="B724" t="s">
        <v>932</v>
      </c>
      <c r="C724">
        <v>12</v>
      </c>
    </row>
    <row r="725" spans="1:3" x14ac:dyDescent="0.25">
      <c r="A725" t="s">
        <v>2032</v>
      </c>
      <c r="B725" t="s">
        <v>933</v>
      </c>
      <c r="C725">
        <v>6</v>
      </c>
    </row>
    <row r="726" spans="1:3" x14ac:dyDescent="0.25">
      <c r="A726" t="s">
        <v>2033</v>
      </c>
      <c r="B726" t="s">
        <v>934</v>
      </c>
      <c r="C726">
        <v>4</v>
      </c>
    </row>
    <row r="727" spans="1:3" x14ac:dyDescent="0.25">
      <c r="A727" t="s">
        <v>2034</v>
      </c>
      <c r="B727" t="s">
        <v>935</v>
      </c>
      <c r="C727">
        <v>1</v>
      </c>
    </row>
    <row r="728" spans="1:3" x14ac:dyDescent="0.25">
      <c r="A728" t="s">
        <v>2035</v>
      </c>
      <c r="B728" t="s">
        <v>936</v>
      </c>
      <c r="C728">
        <v>7</v>
      </c>
    </row>
    <row r="729" spans="1:3" x14ac:dyDescent="0.25">
      <c r="A729" t="s">
        <v>2036</v>
      </c>
      <c r="B729" t="s">
        <v>937</v>
      </c>
      <c r="C729">
        <v>2</v>
      </c>
    </row>
    <row r="730" spans="1:3" x14ac:dyDescent="0.25">
      <c r="A730" t="s">
        <v>2037</v>
      </c>
      <c r="B730" t="s">
        <v>938</v>
      </c>
      <c r="C730">
        <v>12</v>
      </c>
    </row>
    <row r="731" spans="1:3" x14ac:dyDescent="0.25">
      <c r="A731" t="s">
        <v>2038</v>
      </c>
      <c r="B731" t="s">
        <v>939</v>
      </c>
      <c r="C731">
        <v>10</v>
      </c>
    </row>
    <row r="732" spans="1:3" x14ac:dyDescent="0.25">
      <c r="A732" t="s">
        <v>2039</v>
      </c>
      <c r="B732" t="s">
        <v>940</v>
      </c>
      <c r="C732">
        <v>74</v>
      </c>
    </row>
    <row r="733" spans="1:3" x14ac:dyDescent="0.25">
      <c r="A733" t="s">
        <v>2040</v>
      </c>
      <c r="B733" t="s">
        <v>941</v>
      </c>
      <c r="C733">
        <v>3</v>
      </c>
    </row>
    <row r="734" spans="1:3" x14ac:dyDescent="0.25">
      <c r="A734" t="s">
        <v>2041</v>
      </c>
      <c r="B734" t="s">
        <v>942</v>
      </c>
      <c r="C734">
        <v>1</v>
      </c>
    </row>
    <row r="735" spans="1:3" x14ac:dyDescent="0.25">
      <c r="A735" t="s">
        <v>2042</v>
      </c>
      <c r="B735" t="s">
        <v>943</v>
      </c>
      <c r="C735">
        <v>3</v>
      </c>
    </row>
    <row r="736" spans="1:3" x14ac:dyDescent="0.25">
      <c r="A736" t="s">
        <v>2043</v>
      </c>
      <c r="B736" t="s">
        <v>944</v>
      </c>
      <c r="C736">
        <v>1</v>
      </c>
    </row>
    <row r="737" spans="1:3" x14ac:dyDescent="0.25">
      <c r="A737" t="s">
        <v>2044</v>
      </c>
      <c r="B737" t="s">
        <v>945</v>
      </c>
      <c r="C737">
        <v>2</v>
      </c>
    </row>
    <row r="738" spans="1:3" x14ac:dyDescent="0.25">
      <c r="A738" t="s">
        <v>2045</v>
      </c>
      <c r="B738" t="s">
        <v>946</v>
      </c>
      <c r="C738">
        <v>1</v>
      </c>
    </row>
    <row r="739" spans="1:3" x14ac:dyDescent="0.25">
      <c r="A739" t="s">
        <v>2046</v>
      </c>
      <c r="B739" t="s">
        <v>947</v>
      </c>
      <c r="C739">
        <v>1</v>
      </c>
    </row>
    <row r="740" spans="1:3" x14ac:dyDescent="0.25">
      <c r="A740" t="s">
        <v>2047</v>
      </c>
      <c r="B740" t="s">
        <v>948</v>
      </c>
      <c r="C740">
        <v>2</v>
      </c>
    </row>
    <row r="741" spans="1:3" x14ac:dyDescent="0.25">
      <c r="A741" t="s">
        <v>2048</v>
      </c>
      <c r="B741" t="s">
        <v>949</v>
      </c>
      <c r="C741">
        <v>5</v>
      </c>
    </row>
    <row r="742" spans="1:3" x14ac:dyDescent="0.25">
      <c r="A742" t="s">
        <v>2049</v>
      </c>
      <c r="B742" t="s">
        <v>950</v>
      </c>
      <c r="C742">
        <v>4</v>
      </c>
    </row>
    <row r="743" spans="1:3" x14ac:dyDescent="0.25">
      <c r="A743" t="s">
        <v>2050</v>
      </c>
      <c r="B743" t="s">
        <v>951</v>
      </c>
      <c r="C743">
        <v>1</v>
      </c>
    </row>
    <row r="744" spans="1:3" x14ac:dyDescent="0.25">
      <c r="A744" t="s">
        <v>2051</v>
      </c>
      <c r="B744" t="s">
        <v>952</v>
      </c>
      <c r="C744">
        <v>1</v>
      </c>
    </row>
    <row r="745" spans="1:3" x14ac:dyDescent="0.25">
      <c r="A745" t="s">
        <v>2052</v>
      </c>
      <c r="B745" t="s">
        <v>953</v>
      </c>
      <c r="C745">
        <v>1</v>
      </c>
    </row>
    <row r="746" spans="1:3" x14ac:dyDescent="0.25">
      <c r="A746" t="s">
        <v>2053</v>
      </c>
      <c r="B746" t="s">
        <v>954</v>
      </c>
      <c r="C746">
        <v>1</v>
      </c>
    </row>
    <row r="747" spans="1:3" x14ac:dyDescent="0.25">
      <c r="A747" t="s">
        <v>2054</v>
      </c>
      <c r="B747" t="s">
        <v>955</v>
      </c>
      <c r="C747">
        <v>8</v>
      </c>
    </row>
    <row r="748" spans="1:3" x14ac:dyDescent="0.25">
      <c r="A748" t="s">
        <v>2055</v>
      </c>
      <c r="B748" t="s">
        <v>956</v>
      </c>
      <c r="C748">
        <v>5</v>
      </c>
    </row>
    <row r="749" spans="1:3" x14ac:dyDescent="0.25">
      <c r="A749" t="s">
        <v>2056</v>
      </c>
      <c r="B749" t="s">
        <v>957</v>
      </c>
      <c r="C749">
        <v>1</v>
      </c>
    </row>
    <row r="750" spans="1:3" x14ac:dyDescent="0.25">
      <c r="A750" t="s">
        <v>2057</v>
      </c>
      <c r="B750" t="s">
        <v>958</v>
      </c>
      <c r="C750">
        <v>2</v>
      </c>
    </row>
    <row r="751" spans="1:3" x14ac:dyDescent="0.25">
      <c r="A751" t="s">
        <v>2058</v>
      </c>
      <c r="B751" t="s">
        <v>959</v>
      </c>
      <c r="C751">
        <v>2</v>
      </c>
    </row>
    <row r="752" spans="1:3" x14ac:dyDescent="0.25">
      <c r="A752" t="s">
        <v>2059</v>
      </c>
      <c r="B752" t="s">
        <v>960</v>
      </c>
      <c r="C752">
        <v>2</v>
      </c>
    </row>
    <row r="753" spans="1:3" x14ac:dyDescent="0.25">
      <c r="A753" t="s">
        <v>2060</v>
      </c>
      <c r="B753" t="s">
        <v>961</v>
      </c>
      <c r="C753">
        <v>5</v>
      </c>
    </row>
    <row r="754" spans="1:3" x14ac:dyDescent="0.25">
      <c r="A754" t="s">
        <v>2061</v>
      </c>
      <c r="B754" t="s">
        <v>962</v>
      </c>
      <c r="C754">
        <v>1</v>
      </c>
    </row>
    <row r="755" spans="1:3" x14ac:dyDescent="0.25">
      <c r="A755" t="s">
        <v>2062</v>
      </c>
      <c r="B755" t="s">
        <v>963</v>
      </c>
      <c r="C755">
        <v>1</v>
      </c>
    </row>
    <row r="756" spans="1:3" x14ac:dyDescent="0.25">
      <c r="A756" t="s">
        <v>2063</v>
      </c>
      <c r="B756" t="s">
        <v>964</v>
      </c>
      <c r="C756">
        <v>11</v>
      </c>
    </row>
    <row r="757" spans="1:3" x14ac:dyDescent="0.25">
      <c r="A757" t="s">
        <v>2064</v>
      </c>
      <c r="B757" t="s">
        <v>965</v>
      </c>
      <c r="C757">
        <v>32</v>
      </c>
    </row>
    <row r="758" spans="1:3" x14ac:dyDescent="0.25">
      <c r="A758" t="s">
        <v>2065</v>
      </c>
      <c r="B758" t="s">
        <v>966</v>
      </c>
      <c r="C758">
        <v>36</v>
      </c>
    </row>
    <row r="759" spans="1:3" x14ac:dyDescent="0.25">
      <c r="A759" t="s">
        <v>2066</v>
      </c>
      <c r="B759" t="s">
        <v>967</v>
      </c>
      <c r="C759">
        <v>35</v>
      </c>
    </row>
    <row r="760" spans="1:3" x14ac:dyDescent="0.25">
      <c r="A760" t="s">
        <v>2067</v>
      </c>
      <c r="B760" t="s">
        <v>968</v>
      </c>
      <c r="C760">
        <v>13</v>
      </c>
    </row>
    <row r="761" spans="1:3" x14ac:dyDescent="0.25">
      <c r="A761" t="s">
        <v>2068</v>
      </c>
      <c r="B761" t="s">
        <v>969</v>
      </c>
      <c r="C761">
        <v>9</v>
      </c>
    </row>
    <row r="762" spans="1:3" x14ac:dyDescent="0.25">
      <c r="A762" t="s">
        <v>2069</v>
      </c>
      <c r="B762" t="s">
        <v>970</v>
      </c>
      <c r="C762">
        <v>2</v>
      </c>
    </row>
    <row r="763" spans="1:3" x14ac:dyDescent="0.25">
      <c r="A763" t="s">
        <v>2070</v>
      </c>
      <c r="B763" t="s">
        <v>971</v>
      </c>
      <c r="C763">
        <v>21</v>
      </c>
    </row>
    <row r="764" spans="1:3" x14ac:dyDescent="0.25">
      <c r="A764" t="s">
        <v>2071</v>
      </c>
      <c r="B764" t="s">
        <v>972</v>
      </c>
      <c r="C764">
        <v>2</v>
      </c>
    </row>
    <row r="765" spans="1:3" x14ac:dyDescent="0.25">
      <c r="A765" t="s">
        <v>2072</v>
      </c>
      <c r="B765" t="s">
        <v>973</v>
      </c>
      <c r="C765">
        <v>21</v>
      </c>
    </row>
    <row r="766" spans="1:3" x14ac:dyDescent="0.25">
      <c r="A766" t="s">
        <v>2073</v>
      </c>
      <c r="B766" t="s">
        <v>974</v>
      </c>
      <c r="C766">
        <v>13</v>
      </c>
    </row>
    <row r="767" spans="1:3" x14ac:dyDescent="0.25">
      <c r="A767" t="s">
        <v>2074</v>
      </c>
      <c r="B767" t="s">
        <v>975</v>
      </c>
      <c r="C767">
        <v>77</v>
      </c>
    </row>
    <row r="768" spans="1:3" x14ac:dyDescent="0.25">
      <c r="A768" t="s">
        <v>2075</v>
      </c>
      <c r="B768" t="s">
        <v>976</v>
      </c>
      <c r="C768">
        <v>6</v>
      </c>
    </row>
    <row r="769" spans="1:3" x14ac:dyDescent="0.25">
      <c r="A769" t="s">
        <v>2076</v>
      </c>
      <c r="B769" t="s">
        <v>977</v>
      </c>
      <c r="C769">
        <v>5</v>
      </c>
    </row>
    <row r="770" spans="1:3" x14ac:dyDescent="0.25">
      <c r="A770" t="s">
        <v>2077</v>
      </c>
      <c r="B770" t="s">
        <v>978</v>
      </c>
      <c r="C770">
        <v>5</v>
      </c>
    </row>
    <row r="771" spans="1:3" x14ac:dyDescent="0.25">
      <c r="A771" t="s">
        <v>2078</v>
      </c>
      <c r="B771" t="s">
        <v>979</v>
      </c>
      <c r="C771">
        <v>2</v>
      </c>
    </row>
    <row r="772" spans="1:3" x14ac:dyDescent="0.25">
      <c r="A772" t="s">
        <v>2079</v>
      </c>
      <c r="B772" t="s">
        <v>980</v>
      </c>
      <c r="C772">
        <v>6</v>
      </c>
    </row>
    <row r="773" spans="1:3" x14ac:dyDescent="0.25">
      <c r="A773" t="s">
        <v>2080</v>
      </c>
      <c r="B773" t="s">
        <v>981</v>
      </c>
      <c r="C773">
        <v>24</v>
      </c>
    </row>
    <row r="774" spans="1:3" x14ac:dyDescent="0.25">
      <c r="A774" t="s">
        <v>2081</v>
      </c>
      <c r="B774" t="s">
        <v>982</v>
      </c>
      <c r="C774">
        <v>1</v>
      </c>
    </row>
    <row r="775" spans="1:3" x14ac:dyDescent="0.25">
      <c r="A775" t="s">
        <v>2082</v>
      </c>
      <c r="B775" t="s">
        <v>983</v>
      </c>
      <c r="C775">
        <v>2</v>
      </c>
    </row>
    <row r="776" spans="1:3" x14ac:dyDescent="0.25">
      <c r="A776" t="s">
        <v>2083</v>
      </c>
      <c r="B776" t="s">
        <v>984</v>
      </c>
      <c r="C776">
        <v>8</v>
      </c>
    </row>
    <row r="777" spans="1:3" x14ac:dyDescent="0.25">
      <c r="A777" t="s">
        <v>2084</v>
      </c>
      <c r="B777" t="s">
        <v>985</v>
      </c>
      <c r="C777">
        <v>12</v>
      </c>
    </row>
    <row r="778" spans="1:3" x14ac:dyDescent="0.25">
      <c r="A778" t="s">
        <v>2085</v>
      </c>
      <c r="B778" t="s">
        <v>986</v>
      </c>
      <c r="C778">
        <v>4</v>
      </c>
    </row>
    <row r="779" spans="1:3" x14ac:dyDescent="0.25">
      <c r="A779" t="s">
        <v>2086</v>
      </c>
      <c r="B779" t="s">
        <v>987</v>
      </c>
      <c r="C779">
        <v>11</v>
      </c>
    </row>
    <row r="780" spans="1:3" x14ac:dyDescent="0.25">
      <c r="A780" t="s">
        <v>2087</v>
      </c>
      <c r="B780" t="s">
        <v>988</v>
      </c>
      <c r="C780">
        <v>2</v>
      </c>
    </row>
    <row r="781" spans="1:3" x14ac:dyDescent="0.25">
      <c r="A781" t="s">
        <v>2088</v>
      </c>
      <c r="B781" t="s">
        <v>989</v>
      </c>
      <c r="C781">
        <v>13</v>
      </c>
    </row>
    <row r="782" spans="1:3" x14ac:dyDescent="0.25">
      <c r="A782" t="s">
        <v>2089</v>
      </c>
      <c r="B782" t="s">
        <v>990</v>
      </c>
      <c r="C782">
        <v>7</v>
      </c>
    </row>
    <row r="783" spans="1:3" x14ac:dyDescent="0.25">
      <c r="A783" t="s">
        <v>2090</v>
      </c>
      <c r="B783" t="s">
        <v>991</v>
      </c>
      <c r="C783">
        <v>2</v>
      </c>
    </row>
    <row r="784" spans="1:3" x14ac:dyDescent="0.25">
      <c r="A784" t="s">
        <v>2091</v>
      </c>
      <c r="B784" t="s">
        <v>992</v>
      </c>
      <c r="C784">
        <v>15</v>
      </c>
    </row>
    <row r="785" spans="1:3" x14ac:dyDescent="0.25">
      <c r="A785" t="s">
        <v>2092</v>
      </c>
      <c r="B785" t="s">
        <v>993</v>
      </c>
      <c r="C785">
        <v>3</v>
      </c>
    </row>
    <row r="786" spans="1:3" x14ac:dyDescent="0.25">
      <c r="A786" t="s">
        <v>2093</v>
      </c>
      <c r="B786" t="s">
        <v>994</v>
      </c>
      <c r="C786">
        <v>2</v>
      </c>
    </row>
    <row r="787" spans="1:3" x14ac:dyDescent="0.25">
      <c r="A787" t="s">
        <v>2094</v>
      </c>
      <c r="B787" t="s">
        <v>995</v>
      </c>
      <c r="C787">
        <v>4</v>
      </c>
    </row>
    <row r="788" spans="1:3" x14ac:dyDescent="0.25">
      <c r="A788" t="s">
        <v>2095</v>
      </c>
      <c r="B788" t="s">
        <v>996</v>
      </c>
      <c r="C788">
        <v>1</v>
      </c>
    </row>
    <row r="789" spans="1:3" x14ac:dyDescent="0.25">
      <c r="A789" t="s">
        <v>2096</v>
      </c>
      <c r="B789" t="s">
        <v>997</v>
      </c>
      <c r="C789">
        <v>2</v>
      </c>
    </row>
    <row r="790" spans="1:3" x14ac:dyDescent="0.25">
      <c r="A790" t="s">
        <v>2097</v>
      </c>
      <c r="B790" t="s">
        <v>998</v>
      </c>
      <c r="C790">
        <v>1</v>
      </c>
    </row>
    <row r="791" spans="1:3" x14ac:dyDescent="0.25">
      <c r="A791" t="s">
        <v>2098</v>
      </c>
      <c r="B791" t="s">
        <v>999</v>
      </c>
      <c r="C791">
        <v>3</v>
      </c>
    </row>
    <row r="792" spans="1:3" x14ac:dyDescent="0.25">
      <c r="A792" t="s">
        <v>2099</v>
      </c>
      <c r="B792" t="s">
        <v>1000</v>
      </c>
      <c r="C792">
        <v>1</v>
      </c>
    </row>
    <row r="793" spans="1:3" x14ac:dyDescent="0.25">
      <c r="A793" t="s">
        <v>2100</v>
      </c>
      <c r="B793" t="s">
        <v>1001</v>
      </c>
      <c r="C793">
        <v>1</v>
      </c>
    </row>
    <row r="794" spans="1:3" x14ac:dyDescent="0.25">
      <c r="A794" t="s">
        <v>2101</v>
      </c>
      <c r="B794" t="s">
        <v>1002</v>
      </c>
      <c r="C794">
        <v>1</v>
      </c>
    </row>
    <row r="795" spans="1:3" x14ac:dyDescent="0.25">
      <c r="A795" t="s">
        <v>2102</v>
      </c>
      <c r="B795" t="s">
        <v>1003</v>
      </c>
      <c r="C795">
        <v>1</v>
      </c>
    </row>
    <row r="796" spans="1:3" x14ac:dyDescent="0.25">
      <c r="A796" t="s">
        <v>2103</v>
      </c>
      <c r="B796" t="s">
        <v>1004</v>
      </c>
      <c r="C796">
        <v>1</v>
      </c>
    </row>
    <row r="797" spans="1:3" x14ac:dyDescent="0.25">
      <c r="A797" t="s">
        <v>2104</v>
      </c>
      <c r="B797" t="s">
        <v>1005</v>
      </c>
      <c r="C797">
        <v>1</v>
      </c>
    </row>
    <row r="798" spans="1:3" x14ac:dyDescent="0.25">
      <c r="A798" t="s">
        <v>2105</v>
      </c>
      <c r="B798" t="s">
        <v>1006</v>
      </c>
      <c r="C798">
        <v>2</v>
      </c>
    </row>
    <row r="799" spans="1:3" x14ac:dyDescent="0.25">
      <c r="A799" t="s">
        <v>2106</v>
      </c>
      <c r="B799" t="s">
        <v>1007</v>
      </c>
      <c r="C799">
        <v>7</v>
      </c>
    </row>
    <row r="800" spans="1:3" x14ac:dyDescent="0.25">
      <c r="A800" t="s">
        <v>2107</v>
      </c>
      <c r="B800" t="s">
        <v>1008</v>
      </c>
      <c r="C800">
        <v>2</v>
      </c>
    </row>
    <row r="801" spans="1:3" x14ac:dyDescent="0.25">
      <c r="A801" t="s">
        <v>2108</v>
      </c>
      <c r="B801" t="s">
        <v>1009</v>
      </c>
      <c r="C801">
        <v>35</v>
      </c>
    </row>
    <row r="802" spans="1:3" x14ac:dyDescent="0.25">
      <c r="A802" t="s">
        <v>2109</v>
      </c>
      <c r="B802" t="s">
        <v>1010</v>
      </c>
      <c r="C802">
        <v>1</v>
      </c>
    </row>
    <row r="803" spans="1:3" x14ac:dyDescent="0.25">
      <c r="A803" t="s">
        <v>2110</v>
      </c>
      <c r="B803" t="s">
        <v>1011</v>
      </c>
      <c r="C803">
        <v>4</v>
      </c>
    </row>
    <row r="804" spans="1:3" x14ac:dyDescent="0.25">
      <c r="A804" t="s">
        <v>2111</v>
      </c>
      <c r="B804" t="s">
        <v>1012</v>
      </c>
      <c r="C804">
        <v>2</v>
      </c>
    </row>
    <row r="805" spans="1:3" x14ac:dyDescent="0.25">
      <c r="A805" t="s">
        <v>2112</v>
      </c>
      <c r="B805" t="s">
        <v>1013</v>
      </c>
      <c r="C805">
        <v>1</v>
      </c>
    </row>
    <row r="806" spans="1:3" x14ac:dyDescent="0.25">
      <c r="A806" t="s">
        <v>2113</v>
      </c>
      <c r="B806" t="s">
        <v>1014</v>
      </c>
      <c r="C806">
        <v>1</v>
      </c>
    </row>
    <row r="807" spans="1:3" x14ac:dyDescent="0.25">
      <c r="A807" t="s">
        <v>2114</v>
      </c>
      <c r="B807" t="s">
        <v>1015</v>
      </c>
      <c r="C807">
        <v>3</v>
      </c>
    </row>
    <row r="808" spans="1:3" x14ac:dyDescent="0.25">
      <c r="A808" t="s">
        <v>2115</v>
      </c>
      <c r="B808" t="s">
        <v>1016</v>
      </c>
      <c r="C808">
        <v>9</v>
      </c>
    </row>
    <row r="809" spans="1:3" x14ac:dyDescent="0.25">
      <c r="A809" t="s">
        <v>2116</v>
      </c>
      <c r="B809" t="s">
        <v>1017</v>
      </c>
      <c r="C809">
        <v>3</v>
      </c>
    </row>
    <row r="810" spans="1:3" x14ac:dyDescent="0.25">
      <c r="A810" t="s">
        <v>2117</v>
      </c>
      <c r="B810" t="s">
        <v>1018</v>
      </c>
      <c r="C810">
        <v>7</v>
      </c>
    </row>
    <row r="811" spans="1:3" x14ac:dyDescent="0.25">
      <c r="A811" t="s">
        <v>2118</v>
      </c>
      <c r="B811" t="s">
        <v>1019</v>
      </c>
      <c r="C811">
        <v>7</v>
      </c>
    </row>
    <row r="812" spans="1:3" x14ac:dyDescent="0.25">
      <c r="A812" t="s">
        <v>2119</v>
      </c>
      <c r="B812" t="s">
        <v>1020</v>
      </c>
      <c r="C812">
        <v>3</v>
      </c>
    </row>
    <row r="813" spans="1:3" x14ac:dyDescent="0.25">
      <c r="A813" t="s">
        <v>2120</v>
      </c>
      <c r="B813" t="s">
        <v>1021</v>
      </c>
      <c r="C813">
        <v>1</v>
      </c>
    </row>
    <row r="814" spans="1:3" x14ac:dyDescent="0.25">
      <c r="A814" t="s">
        <v>2121</v>
      </c>
      <c r="B814" t="s">
        <v>1022</v>
      </c>
      <c r="C814">
        <v>1</v>
      </c>
    </row>
    <row r="815" spans="1:3" x14ac:dyDescent="0.25">
      <c r="A815" t="s">
        <v>2122</v>
      </c>
      <c r="B815" t="s">
        <v>1023</v>
      </c>
      <c r="C815">
        <v>17</v>
      </c>
    </row>
    <row r="816" spans="1:3" x14ac:dyDescent="0.25">
      <c r="A816" t="s">
        <v>2123</v>
      </c>
      <c r="B816" t="s">
        <v>1024</v>
      </c>
      <c r="C816">
        <v>4</v>
      </c>
    </row>
    <row r="817" spans="1:3" x14ac:dyDescent="0.25">
      <c r="A817" t="s">
        <v>2124</v>
      </c>
      <c r="B817" t="s">
        <v>1025</v>
      </c>
      <c r="C817">
        <v>5</v>
      </c>
    </row>
    <row r="818" spans="1:3" x14ac:dyDescent="0.25">
      <c r="A818" t="s">
        <v>2125</v>
      </c>
      <c r="B818" t="s">
        <v>1026</v>
      </c>
      <c r="C818">
        <v>3</v>
      </c>
    </row>
    <row r="819" spans="1:3" x14ac:dyDescent="0.25">
      <c r="A819" t="s">
        <v>2126</v>
      </c>
      <c r="B819" t="s">
        <v>1027</v>
      </c>
      <c r="C819">
        <v>2</v>
      </c>
    </row>
    <row r="820" spans="1:3" x14ac:dyDescent="0.25">
      <c r="A820" t="s">
        <v>2127</v>
      </c>
      <c r="B820" t="s">
        <v>1028</v>
      </c>
      <c r="C820">
        <v>2</v>
      </c>
    </row>
    <row r="821" spans="1:3" x14ac:dyDescent="0.25">
      <c r="A821" t="s">
        <v>2128</v>
      </c>
      <c r="B821" t="s">
        <v>1029</v>
      </c>
      <c r="C821">
        <v>3</v>
      </c>
    </row>
    <row r="822" spans="1:3" x14ac:dyDescent="0.25">
      <c r="A822" t="s">
        <v>2129</v>
      </c>
      <c r="B822" t="s">
        <v>1030</v>
      </c>
      <c r="C822">
        <v>2</v>
      </c>
    </row>
    <row r="823" spans="1:3" x14ac:dyDescent="0.25">
      <c r="A823" t="s">
        <v>2130</v>
      </c>
      <c r="B823" t="s">
        <v>1031</v>
      </c>
      <c r="C823">
        <v>3</v>
      </c>
    </row>
    <row r="824" spans="1:3" x14ac:dyDescent="0.25">
      <c r="A824" t="s">
        <v>2131</v>
      </c>
      <c r="B824" t="s">
        <v>1032</v>
      </c>
      <c r="C824">
        <v>1</v>
      </c>
    </row>
    <row r="825" spans="1:3" x14ac:dyDescent="0.25">
      <c r="A825" t="s">
        <v>2132</v>
      </c>
      <c r="B825" t="s">
        <v>1033</v>
      </c>
      <c r="C825">
        <v>1</v>
      </c>
    </row>
    <row r="826" spans="1:3" x14ac:dyDescent="0.25">
      <c r="A826" t="s">
        <v>2133</v>
      </c>
      <c r="B826" t="s">
        <v>1034</v>
      </c>
      <c r="C826">
        <v>1</v>
      </c>
    </row>
    <row r="827" spans="1:3" x14ac:dyDescent="0.25">
      <c r="A827" t="s">
        <v>2134</v>
      </c>
      <c r="B827" t="s">
        <v>1035</v>
      </c>
      <c r="C827">
        <v>1</v>
      </c>
    </row>
    <row r="828" spans="1:3" x14ac:dyDescent="0.25">
      <c r="A828" t="s">
        <v>2135</v>
      </c>
      <c r="B828" t="s">
        <v>1036</v>
      </c>
      <c r="C828">
        <v>1</v>
      </c>
    </row>
    <row r="829" spans="1:3" x14ac:dyDescent="0.25">
      <c r="A829" t="s">
        <v>2136</v>
      </c>
      <c r="B829" t="s">
        <v>1037</v>
      </c>
      <c r="C829">
        <v>1</v>
      </c>
    </row>
    <row r="830" spans="1:3" x14ac:dyDescent="0.25">
      <c r="A830" t="s">
        <v>2137</v>
      </c>
      <c r="B830" t="s">
        <v>1038</v>
      </c>
      <c r="C830">
        <v>6</v>
      </c>
    </row>
    <row r="831" spans="1:3" x14ac:dyDescent="0.25">
      <c r="A831" t="s">
        <v>2138</v>
      </c>
      <c r="B831" t="s">
        <v>1039</v>
      </c>
      <c r="C831">
        <v>2</v>
      </c>
    </row>
    <row r="832" spans="1:3" x14ac:dyDescent="0.25">
      <c r="A832" t="s">
        <v>2139</v>
      </c>
      <c r="B832" t="s">
        <v>1040</v>
      </c>
      <c r="C832">
        <v>13</v>
      </c>
    </row>
    <row r="833" spans="1:3" x14ac:dyDescent="0.25">
      <c r="A833" t="s">
        <v>2140</v>
      </c>
      <c r="B833" t="s">
        <v>1041</v>
      </c>
      <c r="C833">
        <v>3</v>
      </c>
    </row>
    <row r="834" spans="1:3" x14ac:dyDescent="0.25">
      <c r="A834" t="s">
        <v>2141</v>
      </c>
      <c r="B834" t="s">
        <v>1042</v>
      </c>
      <c r="C834">
        <v>2</v>
      </c>
    </row>
    <row r="835" spans="1:3" x14ac:dyDescent="0.25">
      <c r="A835" t="s">
        <v>2142</v>
      </c>
      <c r="B835" t="s">
        <v>1043</v>
      </c>
      <c r="C835">
        <v>4</v>
      </c>
    </row>
    <row r="836" spans="1:3" x14ac:dyDescent="0.25">
      <c r="A836" t="s">
        <v>2143</v>
      </c>
      <c r="B836" t="s">
        <v>1044</v>
      </c>
      <c r="C836">
        <v>1</v>
      </c>
    </row>
    <row r="837" spans="1:3" x14ac:dyDescent="0.25">
      <c r="A837" t="s">
        <v>2144</v>
      </c>
      <c r="B837" t="s">
        <v>1045</v>
      </c>
      <c r="C837">
        <v>6</v>
      </c>
    </row>
    <row r="838" spans="1:3" x14ac:dyDescent="0.25">
      <c r="A838" t="s">
        <v>2145</v>
      </c>
      <c r="B838" t="s">
        <v>1046</v>
      </c>
      <c r="C838">
        <v>2</v>
      </c>
    </row>
    <row r="839" spans="1:3" x14ac:dyDescent="0.25">
      <c r="A839" t="s">
        <v>2146</v>
      </c>
      <c r="B839" t="s">
        <v>1047</v>
      </c>
      <c r="C839">
        <v>11</v>
      </c>
    </row>
    <row r="840" spans="1:3" x14ac:dyDescent="0.25">
      <c r="A840" t="s">
        <v>2147</v>
      </c>
      <c r="B840" t="s">
        <v>1048</v>
      </c>
      <c r="C840">
        <v>1</v>
      </c>
    </row>
    <row r="841" spans="1:3" x14ac:dyDescent="0.25">
      <c r="A841" t="s">
        <v>2148</v>
      </c>
      <c r="B841" t="s">
        <v>1049</v>
      </c>
      <c r="C841">
        <v>24</v>
      </c>
    </row>
    <row r="842" spans="1:3" x14ac:dyDescent="0.25">
      <c r="A842" t="s">
        <v>2149</v>
      </c>
      <c r="B842" t="s">
        <v>1050</v>
      </c>
      <c r="C842">
        <v>11</v>
      </c>
    </row>
    <row r="843" spans="1:3" x14ac:dyDescent="0.25">
      <c r="A843" t="s">
        <v>2150</v>
      </c>
      <c r="B843" t="s">
        <v>1051</v>
      </c>
      <c r="C843">
        <v>6</v>
      </c>
    </row>
    <row r="844" spans="1:3" x14ac:dyDescent="0.25">
      <c r="A844" t="s">
        <v>2151</v>
      </c>
      <c r="B844" t="s">
        <v>1052</v>
      </c>
      <c r="C844">
        <v>1</v>
      </c>
    </row>
    <row r="845" spans="1:3" x14ac:dyDescent="0.25">
      <c r="A845" t="s">
        <v>2152</v>
      </c>
      <c r="B845" t="s">
        <v>1053</v>
      </c>
      <c r="C845">
        <v>1</v>
      </c>
    </row>
    <row r="846" spans="1:3" x14ac:dyDescent="0.25">
      <c r="A846" t="s">
        <v>2153</v>
      </c>
      <c r="B846" t="s">
        <v>1054</v>
      </c>
      <c r="C846">
        <v>1</v>
      </c>
    </row>
    <row r="847" spans="1:3" x14ac:dyDescent="0.25">
      <c r="A847" t="s">
        <v>2154</v>
      </c>
      <c r="B847" t="s">
        <v>1055</v>
      </c>
      <c r="C847">
        <v>1</v>
      </c>
    </row>
  </sheetData>
  <autoFilter ref="A1:C847" xr:uid="{657EE0B7-C584-4F0C-BA9C-C657C7C8B8A5}"/>
  <phoneticPr fontId="4" type="noConversion"/>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28FEB-E8AF-45E9-9D89-732BAAE20E03}">
  <dimension ref="A1:H132"/>
  <sheetViews>
    <sheetView tabSelected="1" workbookViewId="0">
      <selection activeCell="D53" sqref="D53"/>
    </sheetView>
  </sheetViews>
  <sheetFormatPr baseColWidth="10" defaultColWidth="11.5703125" defaultRowHeight="15" x14ac:dyDescent="0.25"/>
  <cols>
    <col min="1" max="1" width="10.7109375" style="5" bestFit="1" customWidth="1"/>
    <col min="2" max="2" width="9" style="5" customWidth="1"/>
    <col min="3" max="3" width="9.28515625" style="5" bestFit="1" customWidth="1"/>
    <col min="4" max="4" width="12.85546875" style="5" bestFit="1" customWidth="1"/>
    <col min="5" max="5" width="12.85546875" style="5" customWidth="1"/>
    <col min="6" max="6" width="54.28515625" style="5" bestFit="1" customWidth="1"/>
    <col min="7" max="16384" width="11.5703125" style="5"/>
  </cols>
  <sheetData>
    <row r="1" spans="1:8" x14ac:dyDescent="0.25">
      <c r="A1" s="1" t="s">
        <v>3</v>
      </c>
      <c r="B1" s="1" t="s">
        <v>1056</v>
      </c>
      <c r="C1" s="1" t="s">
        <v>1057</v>
      </c>
      <c r="D1" s="1" t="s">
        <v>1272</v>
      </c>
      <c r="E1" s="1" t="s">
        <v>0</v>
      </c>
      <c r="F1" s="1" t="s">
        <v>1058</v>
      </c>
      <c r="G1" s="1" t="s">
        <v>218</v>
      </c>
      <c r="H1" s="1" t="s">
        <v>1059</v>
      </c>
    </row>
    <row r="2" spans="1:8" x14ac:dyDescent="0.25">
      <c r="A2" s="5">
        <v>1</v>
      </c>
      <c r="B2" s="5">
        <v>3</v>
      </c>
      <c r="C2" s="5">
        <v>1</v>
      </c>
      <c r="D2" s="5" t="s">
        <v>1273</v>
      </c>
      <c r="E2" s="5" t="s">
        <v>1168</v>
      </c>
      <c r="F2" s="5" t="s">
        <v>2406</v>
      </c>
      <c r="G2" s="5">
        <f>35+26</f>
        <v>61</v>
      </c>
      <c r="H2" s="5" t="s">
        <v>174</v>
      </c>
    </row>
    <row r="3" spans="1:8" x14ac:dyDescent="0.25">
      <c r="A3" s="5">
        <v>1</v>
      </c>
      <c r="B3" s="5">
        <v>3</v>
      </c>
      <c r="C3" s="5">
        <v>1</v>
      </c>
      <c r="D3" s="5" t="s">
        <v>1273</v>
      </c>
      <c r="E3" s="5" t="s">
        <v>1169</v>
      </c>
      <c r="F3" s="5" t="s">
        <v>2407</v>
      </c>
      <c r="G3" s="5">
        <f>56+68</f>
        <v>124</v>
      </c>
      <c r="H3" s="5" t="s">
        <v>174</v>
      </c>
    </row>
    <row r="4" spans="1:8" x14ac:dyDescent="0.25">
      <c r="A4" s="5">
        <v>1</v>
      </c>
      <c r="B4" s="5">
        <v>3</v>
      </c>
      <c r="C4" s="5">
        <v>2</v>
      </c>
      <c r="D4" s="5" t="s">
        <v>1273</v>
      </c>
      <c r="E4" s="5" t="s">
        <v>1170</v>
      </c>
      <c r="F4" s="5" t="s">
        <v>2408</v>
      </c>
      <c r="G4" s="5">
        <v>2</v>
      </c>
      <c r="H4" s="5" t="s">
        <v>174</v>
      </c>
    </row>
    <row r="5" spans="1:8" x14ac:dyDescent="0.25">
      <c r="A5" s="5">
        <v>1</v>
      </c>
      <c r="B5" s="5">
        <v>3</v>
      </c>
      <c r="C5" s="5">
        <v>2</v>
      </c>
      <c r="D5" s="5" t="s">
        <v>1273</v>
      </c>
      <c r="E5" s="5" t="s">
        <v>2433</v>
      </c>
      <c r="F5" s="5" t="s">
        <v>1155</v>
      </c>
      <c r="G5" s="5">
        <v>1</v>
      </c>
      <c r="H5" s="5" t="s">
        <v>174</v>
      </c>
    </row>
    <row r="6" spans="1:8" x14ac:dyDescent="0.25">
      <c r="A6" s="5">
        <v>1</v>
      </c>
      <c r="B6" s="5">
        <v>3</v>
      </c>
      <c r="C6" s="5">
        <v>2</v>
      </c>
      <c r="D6" s="5" t="s">
        <v>1273</v>
      </c>
      <c r="E6" s="5" t="s">
        <v>2434</v>
      </c>
      <c r="F6" s="5" t="s">
        <v>1075</v>
      </c>
      <c r="G6" s="5">
        <v>1</v>
      </c>
      <c r="H6" s="5" t="s">
        <v>174</v>
      </c>
    </row>
    <row r="7" spans="1:8" x14ac:dyDescent="0.25">
      <c r="A7" s="5">
        <v>1</v>
      </c>
      <c r="B7" s="5">
        <v>3</v>
      </c>
      <c r="C7" s="5">
        <v>3</v>
      </c>
      <c r="D7" s="5" t="s">
        <v>1273</v>
      </c>
      <c r="E7" s="5" t="s">
        <v>2435</v>
      </c>
      <c r="F7" s="5" t="s">
        <v>2409</v>
      </c>
      <c r="G7" s="5">
        <v>1</v>
      </c>
      <c r="H7" s="5" t="s">
        <v>174</v>
      </c>
    </row>
    <row r="8" spans="1:8" x14ac:dyDescent="0.25">
      <c r="A8" s="5">
        <v>1</v>
      </c>
      <c r="B8" s="5">
        <v>3</v>
      </c>
      <c r="C8" s="5">
        <v>3</v>
      </c>
      <c r="D8" s="5" t="s">
        <v>1273</v>
      </c>
      <c r="E8" s="5" t="s">
        <v>1171</v>
      </c>
      <c r="F8" s="5" t="s">
        <v>2410</v>
      </c>
      <c r="G8" s="5">
        <v>1</v>
      </c>
      <c r="H8" s="5" t="s">
        <v>174</v>
      </c>
    </row>
    <row r="9" spans="1:8" x14ac:dyDescent="0.25">
      <c r="A9" s="5">
        <v>1</v>
      </c>
      <c r="B9" s="5">
        <v>3</v>
      </c>
      <c r="C9" s="5">
        <v>3</v>
      </c>
      <c r="D9" s="5" t="s">
        <v>1273</v>
      </c>
      <c r="E9" s="5" t="s">
        <v>1172</v>
      </c>
      <c r="F9" s="5" t="s">
        <v>2411</v>
      </c>
      <c r="G9" s="5">
        <v>1</v>
      </c>
      <c r="H9" s="5" t="s">
        <v>174</v>
      </c>
    </row>
    <row r="10" spans="1:8" x14ac:dyDescent="0.25">
      <c r="A10" s="5">
        <v>1</v>
      </c>
      <c r="B10" s="5">
        <v>3</v>
      </c>
      <c r="C10" s="5">
        <v>3</v>
      </c>
      <c r="D10" s="5" t="s">
        <v>1273</v>
      </c>
      <c r="E10" s="5" t="s">
        <v>1173</v>
      </c>
      <c r="F10" s="5" t="s">
        <v>2412</v>
      </c>
      <c r="G10" s="5">
        <v>1</v>
      </c>
      <c r="H10" s="5" t="s">
        <v>174</v>
      </c>
    </row>
    <row r="11" spans="1:8" x14ac:dyDescent="0.25">
      <c r="A11" s="5">
        <v>1</v>
      </c>
      <c r="B11" s="5">
        <v>3</v>
      </c>
      <c r="C11" s="5">
        <v>4</v>
      </c>
      <c r="D11" s="5" t="s">
        <v>1273</v>
      </c>
      <c r="E11" s="5" t="s">
        <v>1174</v>
      </c>
      <c r="F11" s="5" t="s">
        <v>1076</v>
      </c>
      <c r="G11" s="5">
        <v>20</v>
      </c>
      <c r="H11" s="5" t="s">
        <v>2155</v>
      </c>
    </row>
    <row r="12" spans="1:8" x14ac:dyDescent="0.25">
      <c r="A12" s="5">
        <v>1</v>
      </c>
      <c r="B12" s="5">
        <v>3</v>
      </c>
      <c r="C12" s="5">
        <v>5</v>
      </c>
      <c r="D12" s="5" t="s">
        <v>1273</v>
      </c>
      <c r="E12" s="5" t="s">
        <v>2436</v>
      </c>
      <c r="F12" s="5" t="s">
        <v>2413</v>
      </c>
      <c r="G12" s="5">
        <v>1</v>
      </c>
      <c r="H12" s="5" t="s">
        <v>174</v>
      </c>
    </row>
    <row r="13" spans="1:8" x14ac:dyDescent="0.25">
      <c r="A13" s="5">
        <v>1</v>
      </c>
      <c r="B13" s="5">
        <v>3</v>
      </c>
      <c r="C13" s="5">
        <v>5</v>
      </c>
      <c r="D13" s="5" t="s">
        <v>1273</v>
      </c>
      <c r="E13" s="5" t="s">
        <v>1175</v>
      </c>
      <c r="F13" s="5" t="s">
        <v>2414</v>
      </c>
      <c r="G13" s="5">
        <v>1</v>
      </c>
      <c r="H13" s="5" t="s">
        <v>174</v>
      </c>
    </row>
    <row r="14" spans="1:8" x14ac:dyDescent="0.25">
      <c r="A14" s="5">
        <v>1</v>
      </c>
      <c r="B14" s="5">
        <v>3</v>
      </c>
      <c r="C14" s="5">
        <v>5</v>
      </c>
      <c r="D14" s="5" t="s">
        <v>1273</v>
      </c>
      <c r="E14" s="5" t="s">
        <v>1176</v>
      </c>
      <c r="F14" s="5" t="s">
        <v>2415</v>
      </c>
      <c r="G14" s="5">
        <v>2</v>
      </c>
      <c r="H14" s="5" t="s">
        <v>174</v>
      </c>
    </row>
    <row r="15" spans="1:8" x14ac:dyDescent="0.25">
      <c r="A15" s="5">
        <v>1</v>
      </c>
      <c r="B15" s="5">
        <v>3</v>
      </c>
      <c r="C15" s="5">
        <v>5</v>
      </c>
      <c r="D15" s="5" t="s">
        <v>1273</v>
      </c>
      <c r="E15" s="5" t="s">
        <v>2437</v>
      </c>
      <c r="F15" s="5" t="s">
        <v>2416</v>
      </c>
      <c r="G15" s="5">
        <v>2</v>
      </c>
      <c r="H15" s="5" t="s">
        <v>174</v>
      </c>
    </row>
    <row r="16" spans="1:8" x14ac:dyDescent="0.25">
      <c r="A16" s="5">
        <v>1</v>
      </c>
      <c r="B16" s="5">
        <v>3</v>
      </c>
      <c r="C16" s="5">
        <v>6</v>
      </c>
      <c r="D16" s="5" t="s">
        <v>1273</v>
      </c>
      <c r="E16" s="5" t="s">
        <v>1177</v>
      </c>
      <c r="F16" s="5" t="s">
        <v>1068</v>
      </c>
      <c r="G16" s="5">
        <v>2200</v>
      </c>
      <c r="H16" s="5" t="s">
        <v>146</v>
      </c>
    </row>
    <row r="17" spans="1:8" x14ac:dyDescent="0.25">
      <c r="A17" s="5">
        <v>1</v>
      </c>
      <c r="B17" s="5">
        <v>3</v>
      </c>
      <c r="C17" s="5">
        <v>6</v>
      </c>
      <c r="D17" s="5" t="s">
        <v>1273</v>
      </c>
      <c r="E17" s="5" t="s">
        <v>2438</v>
      </c>
      <c r="F17" s="5" t="s">
        <v>2417</v>
      </c>
      <c r="G17" s="5">
        <v>1</v>
      </c>
      <c r="H17" s="5" t="s">
        <v>174</v>
      </c>
    </row>
    <row r="18" spans="1:8" x14ac:dyDescent="0.25">
      <c r="A18" s="5">
        <v>1</v>
      </c>
      <c r="B18" s="5">
        <v>3</v>
      </c>
      <c r="C18" s="5">
        <v>7</v>
      </c>
      <c r="D18" s="5" t="s">
        <v>1273</v>
      </c>
      <c r="E18" s="5" t="s">
        <v>1178</v>
      </c>
      <c r="F18" s="5" t="s">
        <v>2418</v>
      </c>
      <c r="G18" s="5">
        <v>1</v>
      </c>
      <c r="H18" s="5" t="s">
        <v>174</v>
      </c>
    </row>
    <row r="19" spans="1:8" x14ac:dyDescent="0.25">
      <c r="A19" s="5">
        <v>1</v>
      </c>
      <c r="B19" s="5">
        <v>3</v>
      </c>
      <c r="C19" s="5">
        <v>7</v>
      </c>
      <c r="D19" s="5" t="s">
        <v>1273</v>
      </c>
      <c r="E19" s="5" t="s">
        <v>2439</v>
      </c>
      <c r="F19" s="5" t="s">
        <v>2419</v>
      </c>
      <c r="G19" s="5">
        <v>250</v>
      </c>
      <c r="H19" s="5" t="s">
        <v>2420</v>
      </c>
    </row>
    <row r="20" spans="1:8" x14ac:dyDescent="0.25">
      <c r="A20" s="5">
        <v>1</v>
      </c>
      <c r="B20" s="5">
        <v>3</v>
      </c>
      <c r="C20" s="5">
        <v>7</v>
      </c>
      <c r="D20" s="5" t="s">
        <v>1273</v>
      </c>
      <c r="E20" s="5" t="s">
        <v>1179</v>
      </c>
      <c r="F20" s="5" t="s">
        <v>2422</v>
      </c>
      <c r="G20" s="5">
        <v>1</v>
      </c>
      <c r="H20" s="5" t="s">
        <v>174</v>
      </c>
    </row>
    <row r="21" spans="1:8" x14ac:dyDescent="0.25">
      <c r="A21" s="5">
        <v>1</v>
      </c>
      <c r="B21" s="5">
        <v>3</v>
      </c>
      <c r="C21" s="5">
        <v>7</v>
      </c>
      <c r="D21" s="5" t="s">
        <v>1273</v>
      </c>
      <c r="E21" s="5" t="s">
        <v>2440</v>
      </c>
      <c r="F21" s="5" t="s">
        <v>2421</v>
      </c>
      <c r="G21" s="5">
        <v>2</v>
      </c>
      <c r="H21" s="5" t="s">
        <v>174</v>
      </c>
    </row>
    <row r="22" spans="1:8" x14ac:dyDescent="0.25">
      <c r="A22" s="5">
        <v>1</v>
      </c>
      <c r="B22" s="5">
        <v>3</v>
      </c>
      <c r="C22" s="5">
        <v>7</v>
      </c>
      <c r="D22" s="5" t="s">
        <v>1273</v>
      </c>
      <c r="E22" s="5" t="s">
        <v>2441</v>
      </c>
      <c r="F22" s="5" t="s">
        <v>1074</v>
      </c>
      <c r="G22" s="5">
        <v>1</v>
      </c>
      <c r="H22" s="5" t="s">
        <v>174</v>
      </c>
    </row>
    <row r="23" spans="1:8" x14ac:dyDescent="0.25">
      <c r="A23" s="5">
        <v>1</v>
      </c>
      <c r="B23" s="5">
        <v>3</v>
      </c>
      <c r="C23" s="5">
        <v>8</v>
      </c>
      <c r="D23" s="5" t="s">
        <v>1273</v>
      </c>
      <c r="E23" s="5" t="s">
        <v>1180</v>
      </c>
      <c r="F23" s="5" t="s">
        <v>2423</v>
      </c>
      <c r="G23" s="5">
        <v>1</v>
      </c>
      <c r="H23" s="5" t="s">
        <v>174</v>
      </c>
    </row>
    <row r="24" spans="1:8" x14ac:dyDescent="0.25">
      <c r="A24" s="5">
        <v>1</v>
      </c>
      <c r="B24" s="5">
        <v>3</v>
      </c>
      <c r="C24" s="5">
        <v>8</v>
      </c>
      <c r="D24" s="5" t="s">
        <v>1273</v>
      </c>
      <c r="E24" s="5" t="s">
        <v>1181</v>
      </c>
      <c r="F24" s="5" t="s">
        <v>2424</v>
      </c>
      <c r="G24" s="5">
        <v>1</v>
      </c>
      <c r="H24" s="5" t="s">
        <v>2425</v>
      </c>
    </row>
    <row r="25" spans="1:8" x14ac:dyDescent="0.25">
      <c r="A25" s="5">
        <v>1</v>
      </c>
      <c r="B25" s="5">
        <v>2</v>
      </c>
      <c r="C25" s="5">
        <v>1</v>
      </c>
      <c r="D25" s="5" t="s">
        <v>1270</v>
      </c>
      <c r="E25" s="5" t="s">
        <v>1182</v>
      </c>
      <c r="F25" s="5" t="s">
        <v>1060</v>
      </c>
      <c r="G25" s="5">
        <v>5.5</v>
      </c>
      <c r="H25" s="5" t="s">
        <v>146</v>
      </c>
    </row>
    <row r="26" spans="1:8" x14ac:dyDescent="0.25">
      <c r="A26" s="5">
        <v>1</v>
      </c>
      <c r="B26" s="5">
        <v>2</v>
      </c>
      <c r="C26" s="5">
        <v>2</v>
      </c>
      <c r="D26" s="5" t="s">
        <v>1274</v>
      </c>
      <c r="E26" s="5" t="s">
        <v>1183</v>
      </c>
      <c r="F26" s="5" t="s">
        <v>1070</v>
      </c>
      <c r="G26" s="5">
        <v>200</v>
      </c>
      <c r="H26" s="5" t="s">
        <v>2426</v>
      </c>
    </row>
    <row r="27" spans="1:8" x14ac:dyDescent="0.25">
      <c r="A27" s="5">
        <v>1</v>
      </c>
      <c r="B27" s="5">
        <v>2</v>
      </c>
      <c r="C27" s="5">
        <v>3</v>
      </c>
      <c r="D27" s="5" t="s">
        <v>1274</v>
      </c>
      <c r="E27" s="5" t="s">
        <v>2442</v>
      </c>
      <c r="F27" s="5" t="s">
        <v>126</v>
      </c>
      <c r="G27" s="5">
        <v>7</v>
      </c>
      <c r="H27" s="5" t="s">
        <v>146</v>
      </c>
    </row>
    <row r="28" spans="1:8" x14ac:dyDescent="0.25">
      <c r="A28" s="5">
        <v>1</v>
      </c>
      <c r="B28" s="5">
        <v>2</v>
      </c>
      <c r="C28" s="5">
        <v>4</v>
      </c>
      <c r="D28" s="5" t="s">
        <v>1274</v>
      </c>
      <c r="E28" s="5" t="s">
        <v>1184</v>
      </c>
      <c r="F28" s="5" t="s">
        <v>2427</v>
      </c>
      <c r="G28" s="5">
        <v>6</v>
      </c>
      <c r="H28" s="5" t="s">
        <v>146</v>
      </c>
    </row>
    <row r="29" spans="1:8" x14ac:dyDescent="0.25">
      <c r="A29" s="5">
        <v>1</v>
      </c>
      <c r="B29" s="5">
        <v>2</v>
      </c>
      <c r="C29" s="5">
        <v>5</v>
      </c>
      <c r="D29" s="5" t="s">
        <v>1274</v>
      </c>
      <c r="E29" s="5" t="s">
        <v>1185</v>
      </c>
      <c r="F29" s="5" t="s">
        <v>2428</v>
      </c>
      <c r="G29" s="5">
        <v>1</v>
      </c>
      <c r="H29" s="5" t="s">
        <v>146</v>
      </c>
    </row>
    <row r="30" spans="1:8" x14ac:dyDescent="0.25">
      <c r="A30" s="5">
        <v>1</v>
      </c>
      <c r="B30" s="5">
        <v>2</v>
      </c>
      <c r="C30" s="5">
        <v>5</v>
      </c>
      <c r="D30" s="5" t="s">
        <v>1274</v>
      </c>
      <c r="E30" s="5" t="s">
        <v>1186</v>
      </c>
      <c r="F30" s="5" t="s">
        <v>2429</v>
      </c>
      <c r="G30" s="5">
        <v>1</v>
      </c>
      <c r="H30" s="5" t="s">
        <v>146</v>
      </c>
    </row>
    <row r="31" spans="1:8" x14ac:dyDescent="0.25">
      <c r="A31" s="5">
        <v>1</v>
      </c>
      <c r="B31" s="5">
        <v>2</v>
      </c>
      <c r="C31" s="5">
        <v>6</v>
      </c>
      <c r="D31" s="5" t="s">
        <v>1274</v>
      </c>
      <c r="E31" s="5" t="s">
        <v>1187</v>
      </c>
      <c r="F31" s="5" t="s">
        <v>2430</v>
      </c>
      <c r="G31" s="5">
        <v>1</v>
      </c>
      <c r="H31" s="5" t="s">
        <v>173</v>
      </c>
    </row>
    <row r="32" spans="1:8" x14ac:dyDescent="0.25">
      <c r="A32" s="5">
        <v>1</v>
      </c>
      <c r="B32" s="5">
        <v>2</v>
      </c>
      <c r="C32" s="5">
        <v>6</v>
      </c>
      <c r="D32" s="5" t="s">
        <v>1274</v>
      </c>
      <c r="E32" s="5" t="s">
        <v>1188</v>
      </c>
      <c r="F32" s="5" t="s">
        <v>1061</v>
      </c>
      <c r="G32" s="5">
        <v>350</v>
      </c>
      <c r="H32" s="5" t="s">
        <v>1062</v>
      </c>
    </row>
    <row r="33" spans="1:8" x14ac:dyDescent="0.25">
      <c r="A33" s="5">
        <v>1</v>
      </c>
      <c r="B33" s="5">
        <v>2</v>
      </c>
      <c r="C33" s="5">
        <v>6</v>
      </c>
      <c r="D33" s="5" t="s">
        <v>1274</v>
      </c>
      <c r="E33" s="5" t="s">
        <v>1189</v>
      </c>
      <c r="F33" s="5" t="s">
        <v>1065</v>
      </c>
      <c r="G33" s="5">
        <v>440</v>
      </c>
    </row>
    <row r="34" spans="1:8" x14ac:dyDescent="0.25">
      <c r="A34" s="5">
        <v>1</v>
      </c>
      <c r="B34" s="5">
        <v>2</v>
      </c>
      <c r="C34" s="5">
        <v>6</v>
      </c>
      <c r="D34" s="5" t="s">
        <v>1274</v>
      </c>
      <c r="E34" s="5" t="s">
        <v>1190</v>
      </c>
      <c r="F34" s="5" t="s">
        <v>2431</v>
      </c>
      <c r="G34" s="5">
        <v>67</v>
      </c>
      <c r="H34" s="5" t="s">
        <v>174</v>
      </c>
    </row>
    <row r="35" spans="1:8" x14ac:dyDescent="0.25">
      <c r="A35" s="5">
        <v>1</v>
      </c>
      <c r="B35" s="5">
        <v>2</v>
      </c>
      <c r="C35" s="5">
        <v>6</v>
      </c>
      <c r="D35" s="5" t="s">
        <v>1274</v>
      </c>
      <c r="E35" s="5" t="s">
        <v>1191</v>
      </c>
      <c r="F35" s="5" t="s">
        <v>1064</v>
      </c>
      <c r="G35" s="5">
        <v>2</v>
      </c>
      <c r="H35" s="5" t="s">
        <v>174</v>
      </c>
    </row>
    <row r="36" spans="1:8" x14ac:dyDescent="0.25">
      <c r="A36" s="5">
        <v>1</v>
      </c>
      <c r="B36" s="5">
        <v>2</v>
      </c>
      <c r="C36" s="5">
        <v>7</v>
      </c>
      <c r="D36" s="5" t="s">
        <v>1274</v>
      </c>
      <c r="E36" s="5" t="s">
        <v>1192</v>
      </c>
      <c r="F36" s="5" t="s">
        <v>1063</v>
      </c>
      <c r="G36" s="5">
        <v>100</v>
      </c>
      <c r="H36" s="5" t="s">
        <v>1062</v>
      </c>
    </row>
    <row r="37" spans="1:8" x14ac:dyDescent="0.25">
      <c r="A37" s="5">
        <v>1</v>
      </c>
      <c r="B37" s="5">
        <v>2</v>
      </c>
      <c r="C37" s="5">
        <v>2</v>
      </c>
      <c r="D37" s="5" t="s">
        <v>1274</v>
      </c>
      <c r="E37" s="5" t="s">
        <v>1193</v>
      </c>
      <c r="F37" s="5" t="s">
        <v>1165</v>
      </c>
      <c r="G37" s="5">
        <v>10</v>
      </c>
      <c r="H37" s="5" t="s">
        <v>1062</v>
      </c>
    </row>
    <row r="38" spans="1:8" x14ac:dyDescent="0.25">
      <c r="A38" s="5">
        <v>1</v>
      </c>
      <c r="B38" s="5">
        <v>2</v>
      </c>
      <c r="C38" s="5">
        <v>3</v>
      </c>
      <c r="D38" s="5" t="s">
        <v>1275</v>
      </c>
      <c r="E38" s="5" t="s">
        <v>1194</v>
      </c>
      <c r="F38" s="5" t="s">
        <v>1166</v>
      </c>
      <c r="G38" s="5">
        <v>800</v>
      </c>
      <c r="H38" s="5" t="s">
        <v>175</v>
      </c>
    </row>
    <row r="39" spans="1:8" x14ac:dyDescent="0.25">
      <c r="A39" s="5">
        <v>1</v>
      </c>
      <c r="B39" s="5">
        <v>2</v>
      </c>
      <c r="C39" s="5">
        <v>3</v>
      </c>
      <c r="D39" s="5" t="s">
        <v>1275</v>
      </c>
      <c r="E39" s="5" t="s">
        <v>1195</v>
      </c>
      <c r="F39" s="5" t="s">
        <v>1066</v>
      </c>
      <c r="G39" s="5">
        <v>0</v>
      </c>
      <c r="H39" s="5" t="s">
        <v>175</v>
      </c>
    </row>
    <row r="40" spans="1:8" x14ac:dyDescent="0.25">
      <c r="A40" s="5">
        <v>1</v>
      </c>
      <c r="B40" s="5">
        <v>2</v>
      </c>
      <c r="C40" s="5">
        <v>5</v>
      </c>
      <c r="D40" s="5" t="s">
        <v>1276</v>
      </c>
      <c r="E40" s="5" t="s">
        <v>1196</v>
      </c>
      <c r="F40" s="5" t="s">
        <v>1067</v>
      </c>
      <c r="G40" s="5">
        <v>700</v>
      </c>
      <c r="H40" s="5" t="s">
        <v>1062</v>
      </c>
    </row>
    <row r="41" spans="1:8" x14ac:dyDescent="0.25">
      <c r="A41" s="5">
        <v>1</v>
      </c>
      <c r="B41" s="5">
        <v>2</v>
      </c>
      <c r="C41" s="5">
        <v>7</v>
      </c>
      <c r="D41" s="5" t="s">
        <v>1277</v>
      </c>
      <c r="E41" s="5" t="s">
        <v>1197</v>
      </c>
      <c r="F41" s="5" t="s">
        <v>1069</v>
      </c>
      <c r="G41" s="5">
        <v>0</v>
      </c>
      <c r="H41" s="5" t="s">
        <v>146</v>
      </c>
    </row>
    <row r="42" spans="1:8" x14ac:dyDescent="0.25">
      <c r="A42" s="5">
        <v>1</v>
      </c>
      <c r="B42" s="5">
        <v>2</v>
      </c>
      <c r="C42" s="5">
        <v>11</v>
      </c>
      <c r="D42" s="5" t="s">
        <v>1277</v>
      </c>
      <c r="E42" s="5" t="s">
        <v>1198</v>
      </c>
      <c r="F42" s="5" t="s">
        <v>2432</v>
      </c>
      <c r="G42" s="5">
        <v>20</v>
      </c>
      <c r="H42" s="5" t="s">
        <v>146</v>
      </c>
    </row>
    <row r="43" spans="1:8" x14ac:dyDescent="0.25">
      <c r="A43" s="5">
        <v>1</v>
      </c>
      <c r="B43" s="5">
        <v>1</v>
      </c>
      <c r="C43" s="5">
        <v>1</v>
      </c>
      <c r="D43" s="5" t="s">
        <v>1271</v>
      </c>
      <c r="E43" s="5" t="s">
        <v>1199</v>
      </c>
      <c r="F43" s="5" t="s">
        <v>1071</v>
      </c>
      <c r="G43" s="5">
        <v>33</v>
      </c>
      <c r="H43" s="5" t="s">
        <v>146</v>
      </c>
    </row>
    <row r="44" spans="1:8" x14ac:dyDescent="0.25">
      <c r="A44" s="5">
        <v>1</v>
      </c>
      <c r="B44" s="5">
        <v>1</v>
      </c>
      <c r="C44" s="5">
        <v>2</v>
      </c>
      <c r="D44" s="5" t="s">
        <v>1278</v>
      </c>
      <c r="E44" s="5" t="s">
        <v>1200</v>
      </c>
      <c r="F44" s="5" t="s">
        <v>1072</v>
      </c>
      <c r="G44" s="5">
        <v>28</v>
      </c>
      <c r="H44" s="5" t="s">
        <v>173</v>
      </c>
    </row>
    <row r="45" spans="1:8" x14ac:dyDescent="0.25">
      <c r="A45" s="5">
        <v>1</v>
      </c>
      <c r="B45" s="5">
        <v>1</v>
      </c>
      <c r="C45" s="5">
        <v>3</v>
      </c>
      <c r="D45" s="5" t="s">
        <v>1278</v>
      </c>
      <c r="E45" s="5" t="s">
        <v>1201</v>
      </c>
      <c r="F45" s="5" t="s">
        <v>126</v>
      </c>
      <c r="G45" s="5">
        <v>75</v>
      </c>
      <c r="H45" s="5" t="s">
        <v>146</v>
      </c>
    </row>
    <row r="46" spans="1:8" x14ac:dyDescent="0.25">
      <c r="A46" s="5">
        <v>1</v>
      </c>
      <c r="B46" s="5">
        <v>1</v>
      </c>
      <c r="C46" s="5">
        <v>4</v>
      </c>
      <c r="D46" s="5" t="s">
        <v>1278</v>
      </c>
      <c r="E46" s="5" t="s">
        <v>1202</v>
      </c>
      <c r="F46" s="5" t="s">
        <v>1167</v>
      </c>
      <c r="G46" s="5">
        <v>5</v>
      </c>
      <c r="H46" s="5" t="s">
        <v>173</v>
      </c>
    </row>
    <row r="47" spans="1:8" s="62" customFormat="1" x14ac:dyDescent="0.25">
      <c r="A47" s="62">
        <v>1</v>
      </c>
      <c r="B47" s="62">
        <v>1</v>
      </c>
      <c r="C47" s="62">
        <v>4</v>
      </c>
      <c r="D47" s="62" t="s">
        <v>1279</v>
      </c>
      <c r="E47" s="62" t="s">
        <v>1203</v>
      </c>
      <c r="F47" s="62" t="s">
        <v>1073</v>
      </c>
      <c r="G47" s="62">
        <v>30</v>
      </c>
      <c r="H47" s="62" t="s">
        <v>146</v>
      </c>
    </row>
    <row r="48" spans="1:8" x14ac:dyDescent="0.25">
      <c r="A48" s="5">
        <v>1</v>
      </c>
      <c r="B48" s="5">
        <v>1</v>
      </c>
      <c r="C48" s="5">
        <v>5</v>
      </c>
      <c r="D48" s="5" t="s">
        <v>1280</v>
      </c>
      <c r="E48" s="5" t="s">
        <v>1204</v>
      </c>
      <c r="F48" s="5" t="s">
        <v>1077</v>
      </c>
      <c r="G48" s="5">
        <v>2</v>
      </c>
      <c r="H48" s="5" t="s">
        <v>1078</v>
      </c>
    </row>
    <row r="49" spans="1:8" x14ac:dyDescent="0.25">
      <c r="A49" s="5">
        <v>1</v>
      </c>
      <c r="B49" s="5">
        <v>1</v>
      </c>
      <c r="C49" s="5">
        <v>5</v>
      </c>
      <c r="D49" s="5" t="s">
        <v>1280</v>
      </c>
      <c r="E49" s="5" t="s">
        <v>1205</v>
      </c>
      <c r="F49" s="5" t="s">
        <v>1079</v>
      </c>
      <c r="G49" s="5">
        <v>1</v>
      </c>
      <c r="H49" s="5" t="s">
        <v>1078</v>
      </c>
    </row>
    <row r="50" spans="1:8" x14ac:dyDescent="0.25">
      <c r="A50" s="5">
        <v>1</v>
      </c>
      <c r="B50" s="5">
        <v>1</v>
      </c>
      <c r="C50" s="5">
        <v>5</v>
      </c>
      <c r="D50" s="5" t="s">
        <v>1280</v>
      </c>
      <c r="E50" s="5" t="s">
        <v>1206</v>
      </c>
      <c r="F50" s="5" t="s">
        <v>1080</v>
      </c>
      <c r="G50" s="5">
        <v>0.25</v>
      </c>
      <c r="H50" s="5" t="s">
        <v>1078</v>
      </c>
    </row>
    <row r="51" spans="1:8" x14ac:dyDescent="0.25">
      <c r="A51" s="5">
        <v>1</v>
      </c>
      <c r="B51" s="5">
        <v>1</v>
      </c>
      <c r="C51" s="5">
        <v>6</v>
      </c>
      <c r="D51" s="5" t="s">
        <v>1281</v>
      </c>
      <c r="E51" s="5" t="s">
        <v>1207</v>
      </c>
      <c r="F51" s="5" t="s">
        <v>1081</v>
      </c>
      <c r="G51" s="5">
        <v>5</v>
      </c>
      <c r="H51" s="5" t="s">
        <v>146</v>
      </c>
    </row>
    <row r="52" spans="1:8" x14ac:dyDescent="0.25">
      <c r="A52" s="5">
        <v>1</v>
      </c>
      <c r="B52" s="5">
        <v>1</v>
      </c>
      <c r="C52" s="5">
        <v>6</v>
      </c>
      <c r="D52" s="5" t="s">
        <v>1281</v>
      </c>
      <c r="E52" s="5" t="s">
        <v>1208</v>
      </c>
      <c r="F52" s="5" t="s">
        <v>1082</v>
      </c>
      <c r="G52" s="5">
        <v>20</v>
      </c>
      <c r="H52" s="5" t="s">
        <v>1078</v>
      </c>
    </row>
    <row r="53" spans="1:8" x14ac:dyDescent="0.25">
      <c r="A53" s="5">
        <v>2</v>
      </c>
      <c r="B53" s="5">
        <v>3</v>
      </c>
      <c r="C53" s="5">
        <v>1</v>
      </c>
      <c r="D53" s="61" t="s">
        <v>1282</v>
      </c>
      <c r="E53" s="5" t="s">
        <v>1209</v>
      </c>
      <c r="F53" s="5" t="s">
        <v>1083</v>
      </c>
      <c r="G53" s="5">
        <v>25</v>
      </c>
      <c r="H53" s="5" t="s">
        <v>146</v>
      </c>
    </row>
    <row r="54" spans="1:8" x14ac:dyDescent="0.25">
      <c r="A54" s="5">
        <v>2</v>
      </c>
      <c r="B54" s="5">
        <v>3</v>
      </c>
      <c r="C54" s="5">
        <v>1</v>
      </c>
      <c r="D54" s="5" t="s">
        <v>1282</v>
      </c>
      <c r="E54" s="5" t="s">
        <v>1210</v>
      </c>
      <c r="F54" s="5" t="s">
        <v>1084</v>
      </c>
      <c r="G54" s="5">
        <v>20</v>
      </c>
      <c r="H54" s="5" t="s">
        <v>146</v>
      </c>
    </row>
    <row r="55" spans="1:8" x14ac:dyDescent="0.25">
      <c r="A55" s="5">
        <v>2</v>
      </c>
      <c r="B55" s="5">
        <v>3</v>
      </c>
      <c r="C55" s="5">
        <v>1</v>
      </c>
      <c r="D55" s="5" t="s">
        <v>1282</v>
      </c>
      <c r="E55" s="5" t="s">
        <v>1211</v>
      </c>
      <c r="F55" s="5" t="s">
        <v>1085</v>
      </c>
      <c r="G55" s="5">
        <v>47</v>
      </c>
      <c r="H55" s="5" t="s">
        <v>174</v>
      </c>
    </row>
    <row r="56" spans="1:8" x14ac:dyDescent="0.25">
      <c r="A56" s="5">
        <v>2</v>
      </c>
      <c r="B56" s="5">
        <v>3</v>
      </c>
      <c r="C56" s="5">
        <v>1</v>
      </c>
      <c r="D56" s="5" t="s">
        <v>1282</v>
      </c>
      <c r="E56" s="5" t="s">
        <v>1212</v>
      </c>
      <c r="F56" s="5" t="s">
        <v>1086</v>
      </c>
      <c r="G56" s="5">
        <v>2.2000000000000002</v>
      </c>
      <c r="H56" s="5" t="s">
        <v>146</v>
      </c>
    </row>
    <row r="57" spans="1:8" x14ac:dyDescent="0.25">
      <c r="A57" s="5">
        <v>2</v>
      </c>
      <c r="B57" s="5">
        <v>3</v>
      </c>
      <c r="C57" s="5">
        <v>1</v>
      </c>
      <c r="D57" s="5" t="s">
        <v>1282</v>
      </c>
      <c r="E57" s="5" t="s">
        <v>1213</v>
      </c>
      <c r="F57" s="5" t="s">
        <v>1087</v>
      </c>
      <c r="G57" s="5">
        <v>2</v>
      </c>
      <c r="H57" s="5" t="s">
        <v>146</v>
      </c>
    </row>
    <row r="58" spans="1:8" x14ac:dyDescent="0.25">
      <c r="A58" s="5">
        <v>2</v>
      </c>
      <c r="B58" s="5">
        <v>3</v>
      </c>
      <c r="C58" s="5">
        <v>1</v>
      </c>
      <c r="D58" s="5" t="s">
        <v>1282</v>
      </c>
      <c r="E58" s="5" t="s">
        <v>1214</v>
      </c>
      <c r="F58" s="5" t="s">
        <v>1088</v>
      </c>
      <c r="G58" s="5">
        <v>0.5</v>
      </c>
      <c r="H58" s="5" t="s">
        <v>1078</v>
      </c>
    </row>
    <row r="59" spans="1:8" x14ac:dyDescent="0.25">
      <c r="A59" s="5">
        <v>2</v>
      </c>
      <c r="B59" s="5">
        <v>3</v>
      </c>
      <c r="C59" s="5">
        <v>2</v>
      </c>
      <c r="D59" s="5" t="s">
        <v>1283</v>
      </c>
      <c r="E59" s="5" t="s">
        <v>1215</v>
      </c>
      <c r="F59" s="5" t="s">
        <v>1089</v>
      </c>
      <c r="G59" s="5">
        <v>80</v>
      </c>
      <c r="H59" s="5" t="s">
        <v>146</v>
      </c>
    </row>
    <row r="60" spans="1:8" x14ac:dyDescent="0.25">
      <c r="A60" s="5">
        <v>2</v>
      </c>
      <c r="B60" s="5">
        <v>3</v>
      </c>
      <c r="C60" s="5">
        <v>3</v>
      </c>
      <c r="D60" s="5" t="s">
        <v>1284</v>
      </c>
      <c r="E60" s="5" t="s">
        <v>1216</v>
      </c>
      <c r="F60" s="5" t="s">
        <v>1090</v>
      </c>
      <c r="G60" s="5">
        <v>1</v>
      </c>
      <c r="H60" s="5" t="s">
        <v>174</v>
      </c>
    </row>
    <row r="61" spans="1:8" x14ac:dyDescent="0.25">
      <c r="A61" s="5">
        <v>2</v>
      </c>
      <c r="B61" s="5">
        <v>3</v>
      </c>
      <c r="C61" s="5">
        <v>3</v>
      </c>
      <c r="D61" s="5" t="s">
        <v>1284</v>
      </c>
      <c r="E61" s="5" t="s">
        <v>1217</v>
      </c>
      <c r="F61" s="5" t="s">
        <v>1164</v>
      </c>
      <c r="G61" s="5">
        <v>1</v>
      </c>
      <c r="H61" s="5" t="s">
        <v>174</v>
      </c>
    </row>
    <row r="62" spans="1:8" x14ac:dyDescent="0.25">
      <c r="A62" s="5">
        <v>2</v>
      </c>
      <c r="B62" s="5">
        <v>2</v>
      </c>
      <c r="C62" s="5">
        <v>3</v>
      </c>
      <c r="D62" s="5" t="s">
        <v>1287</v>
      </c>
      <c r="E62" s="5" t="s">
        <v>1226</v>
      </c>
      <c r="F62" s="5" t="s">
        <v>1099</v>
      </c>
      <c r="G62" s="5">
        <v>1</v>
      </c>
      <c r="H62" s="5" t="s">
        <v>174</v>
      </c>
    </row>
    <row r="63" spans="1:8" x14ac:dyDescent="0.25">
      <c r="A63" s="5">
        <v>2</v>
      </c>
      <c r="B63" s="5">
        <v>2</v>
      </c>
      <c r="C63" s="5">
        <v>1</v>
      </c>
      <c r="D63" s="5" t="s">
        <v>1285</v>
      </c>
      <c r="E63" s="5" t="s">
        <v>1218</v>
      </c>
      <c r="F63" s="5" t="s">
        <v>1091</v>
      </c>
      <c r="G63" s="5">
        <v>2</v>
      </c>
      <c r="H63" s="5" t="s">
        <v>174</v>
      </c>
    </row>
    <row r="64" spans="1:8" x14ac:dyDescent="0.25">
      <c r="A64" s="5">
        <v>2</v>
      </c>
      <c r="B64" s="5">
        <v>2</v>
      </c>
      <c r="C64" s="5">
        <v>2</v>
      </c>
      <c r="D64" s="5" t="s">
        <v>1286</v>
      </c>
      <c r="E64" s="5" t="s">
        <v>1219</v>
      </c>
      <c r="F64" s="5" t="s">
        <v>1092</v>
      </c>
      <c r="G64" s="5">
        <v>1</v>
      </c>
      <c r="H64" s="5" t="s">
        <v>174</v>
      </c>
    </row>
    <row r="65" spans="1:8" x14ac:dyDescent="0.25">
      <c r="A65" s="5">
        <v>2</v>
      </c>
      <c r="B65" s="5">
        <v>2</v>
      </c>
      <c r="C65" s="5">
        <v>2</v>
      </c>
      <c r="D65" s="5" t="s">
        <v>1286</v>
      </c>
      <c r="E65" s="5" t="s">
        <v>1220</v>
      </c>
      <c r="F65" s="5" t="s">
        <v>1093</v>
      </c>
      <c r="G65" s="5">
        <v>1</v>
      </c>
      <c r="H65" s="5" t="s">
        <v>174</v>
      </c>
    </row>
    <row r="66" spans="1:8" x14ac:dyDescent="0.25">
      <c r="A66" s="5">
        <v>2</v>
      </c>
      <c r="B66" s="5">
        <v>2</v>
      </c>
      <c r="C66" s="5">
        <v>3</v>
      </c>
      <c r="D66" s="5" t="s">
        <v>1287</v>
      </c>
      <c r="E66" s="5" t="s">
        <v>1223</v>
      </c>
      <c r="F66" s="5" t="s">
        <v>1096</v>
      </c>
      <c r="G66" s="5">
        <v>1</v>
      </c>
      <c r="H66" s="5" t="s">
        <v>174</v>
      </c>
    </row>
    <row r="67" spans="1:8" x14ac:dyDescent="0.25">
      <c r="A67" s="5">
        <v>2</v>
      </c>
      <c r="B67" s="5">
        <v>2</v>
      </c>
      <c r="C67" s="5">
        <v>4</v>
      </c>
      <c r="D67" s="5" t="s">
        <v>1288</v>
      </c>
      <c r="E67" s="5" t="s">
        <v>1221</v>
      </c>
      <c r="F67" s="5" t="s">
        <v>1095</v>
      </c>
      <c r="G67" s="5">
        <v>4</v>
      </c>
      <c r="H67" s="5" t="s">
        <v>174</v>
      </c>
    </row>
    <row r="68" spans="1:8" x14ac:dyDescent="0.25">
      <c r="A68" s="5">
        <v>2</v>
      </c>
      <c r="B68" s="5">
        <v>2</v>
      </c>
      <c r="C68" s="5">
        <v>5</v>
      </c>
      <c r="D68" s="5" t="s">
        <v>1289</v>
      </c>
      <c r="E68" s="5" t="s">
        <v>1222</v>
      </c>
      <c r="F68" s="5" t="s">
        <v>1094</v>
      </c>
      <c r="G68" s="5">
        <v>1</v>
      </c>
      <c r="H68" s="5" t="s">
        <v>174</v>
      </c>
    </row>
    <row r="69" spans="1:8" x14ac:dyDescent="0.25">
      <c r="A69" s="5">
        <v>2</v>
      </c>
      <c r="B69" s="5">
        <v>2</v>
      </c>
      <c r="C69" s="5">
        <v>5</v>
      </c>
      <c r="D69" s="5" t="s">
        <v>1289</v>
      </c>
      <c r="E69" s="5" t="s">
        <v>1224</v>
      </c>
      <c r="F69" s="5" t="s">
        <v>1097</v>
      </c>
      <c r="G69" s="5">
        <v>1</v>
      </c>
      <c r="H69" s="5" t="s">
        <v>174</v>
      </c>
    </row>
    <row r="70" spans="1:8" x14ac:dyDescent="0.25">
      <c r="A70" s="5">
        <v>2</v>
      </c>
      <c r="B70" s="5">
        <v>2</v>
      </c>
      <c r="C70" s="5">
        <v>5</v>
      </c>
      <c r="D70" s="5" t="s">
        <v>1289</v>
      </c>
      <c r="E70" s="5" t="s">
        <v>1225</v>
      </c>
      <c r="F70" s="5" t="s">
        <v>1098</v>
      </c>
      <c r="G70" s="5">
        <v>1</v>
      </c>
      <c r="H70" s="5" t="s">
        <v>174</v>
      </c>
    </row>
    <row r="71" spans="1:8" x14ac:dyDescent="0.25">
      <c r="A71" s="5">
        <v>2</v>
      </c>
      <c r="B71" s="5">
        <v>2</v>
      </c>
      <c r="C71" s="5">
        <v>6</v>
      </c>
      <c r="D71" s="5" t="s">
        <v>1290</v>
      </c>
      <c r="E71" s="5" t="s">
        <v>1227</v>
      </c>
      <c r="F71" s="5" t="s">
        <v>1101</v>
      </c>
      <c r="G71" s="5">
        <v>1</v>
      </c>
      <c r="H71" s="5" t="s">
        <v>1102</v>
      </c>
    </row>
    <row r="72" spans="1:8" x14ac:dyDescent="0.25">
      <c r="A72" s="5">
        <v>2</v>
      </c>
      <c r="B72" s="5">
        <v>2</v>
      </c>
      <c r="C72" s="5">
        <v>6</v>
      </c>
      <c r="D72" s="5" t="s">
        <v>1290</v>
      </c>
      <c r="E72" s="5" t="s">
        <v>1228</v>
      </c>
      <c r="F72" s="5" t="s">
        <v>1103</v>
      </c>
      <c r="G72" s="5">
        <v>1</v>
      </c>
      <c r="H72" s="5" t="s">
        <v>1102</v>
      </c>
    </row>
    <row r="73" spans="1:8" x14ac:dyDescent="0.25">
      <c r="A73" s="5">
        <v>2</v>
      </c>
      <c r="B73" s="5">
        <v>2</v>
      </c>
      <c r="C73" s="5">
        <v>6</v>
      </c>
      <c r="D73" s="5" t="s">
        <v>1290</v>
      </c>
      <c r="E73" s="5" t="s">
        <v>1229</v>
      </c>
      <c r="F73" s="5" t="s">
        <v>1104</v>
      </c>
      <c r="G73" s="5">
        <v>1</v>
      </c>
      <c r="H73" s="5" t="s">
        <v>1105</v>
      </c>
    </row>
    <row r="74" spans="1:8" x14ac:dyDescent="0.25">
      <c r="A74" s="5">
        <v>2</v>
      </c>
      <c r="B74" s="5">
        <v>2</v>
      </c>
      <c r="C74" s="5">
        <v>7</v>
      </c>
      <c r="D74" s="5" t="s">
        <v>1291</v>
      </c>
      <c r="E74" s="5" t="s">
        <v>1227</v>
      </c>
      <c r="F74" s="5" t="s">
        <v>1100</v>
      </c>
      <c r="G74" s="5">
        <v>1</v>
      </c>
      <c r="H74" s="5" t="s">
        <v>1102</v>
      </c>
    </row>
    <row r="75" spans="1:8" x14ac:dyDescent="0.25">
      <c r="A75" s="22">
        <v>2</v>
      </c>
      <c r="B75" s="22">
        <v>1</v>
      </c>
      <c r="C75" s="22">
        <v>1</v>
      </c>
      <c r="D75" s="22" t="s">
        <v>1292</v>
      </c>
      <c r="E75" s="22" t="s">
        <v>1230</v>
      </c>
      <c r="F75" s="22" t="s">
        <v>1107</v>
      </c>
      <c r="G75" s="5">
        <v>2</v>
      </c>
      <c r="H75" s="5" t="s">
        <v>174</v>
      </c>
    </row>
    <row r="76" spans="1:8" x14ac:dyDescent="0.25">
      <c r="A76" s="5">
        <v>2</v>
      </c>
      <c r="B76" s="5">
        <v>1</v>
      </c>
      <c r="C76" s="5">
        <v>1</v>
      </c>
      <c r="D76" s="5" t="s">
        <v>1292</v>
      </c>
      <c r="E76" s="5" t="s">
        <v>1231</v>
      </c>
      <c r="F76" s="5" t="s">
        <v>1106</v>
      </c>
      <c r="G76" s="5">
        <v>1</v>
      </c>
      <c r="H76" s="5" t="s">
        <v>174</v>
      </c>
    </row>
    <row r="77" spans="1:8" x14ac:dyDescent="0.25">
      <c r="A77" s="5">
        <v>2</v>
      </c>
      <c r="B77" s="5">
        <v>1</v>
      </c>
      <c r="C77" s="5">
        <v>2</v>
      </c>
      <c r="D77" s="5" t="s">
        <v>1293</v>
      </c>
      <c r="E77" s="5" t="s">
        <v>1231</v>
      </c>
      <c r="F77" s="5" t="s">
        <v>1106</v>
      </c>
      <c r="G77" s="5">
        <v>1</v>
      </c>
      <c r="H77" s="5" t="s">
        <v>174</v>
      </c>
    </row>
    <row r="78" spans="1:8" x14ac:dyDescent="0.25">
      <c r="A78" s="5">
        <v>2</v>
      </c>
      <c r="B78" s="5">
        <v>1</v>
      </c>
      <c r="C78" s="5">
        <v>3</v>
      </c>
      <c r="D78" s="5" t="s">
        <v>1294</v>
      </c>
      <c r="E78" s="5" t="s">
        <v>1232</v>
      </c>
      <c r="F78" s="5" t="s">
        <v>1108</v>
      </c>
      <c r="G78" s="5">
        <v>1</v>
      </c>
      <c r="H78" s="5" t="s">
        <v>174</v>
      </c>
    </row>
    <row r="79" spans="1:8" x14ac:dyDescent="0.25">
      <c r="A79" s="5">
        <v>2</v>
      </c>
      <c r="B79" s="5">
        <v>1</v>
      </c>
      <c r="C79" s="5">
        <v>4</v>
      </c>
      <c r="D79" s="5" t="s">
        <v>1295</v>
      </c>
      <c r="E79" s="5" t="s">
        <v>1233</v>
      </c>
      <c r="F79" s="5" t="s">
        <v>1109</v>
      </c>
      <c r="G79" s="5">
        <v>20</v>
      </c>
      <c r="H79" s="5" t="s">
        <v>2155</v>
      </c>
    </row>
    <row r="80" spans="1:8" x14ac:dyDescent="0.25">
      <c r="A80" s="5">
        <v>2</v>
      </c>
      <c r="B80" s="5">
        <v>1</v>
      </c>
      <c r="C80" s="5">
        <v>4</v>
      </c>
      <c r="D80" s="5" t="s">
        <v>1295</v>
      </c>
      <c r="E80" s="5" t="s">
        <v>1234</v>
      </c>
      <c r="F80" s="5" t="s">
        <v>1110</v>
      </c>
      <c r="G80" s="5">
        <v>5</v>
      </c>
      <c r="H80" s="5" t="s">
        <v>2155</v>
      </c>
    </row>
    <row r="81" spans="1:8" x14ac:dyDescent="0.25">
      <c r="A81" s="5">
        <v>2</v>
      </c>
      <c r="B81" s="5">
        <v>1</v>
      </c>
      <c r="C81" s="5">
        <v>4</v>
      </c>
      <c r="D81" s="5" t="s">
        <v>1295</v>
      </c>
      <c r="E81" s="5" t="s">
        <v>1235</v>
      </c>
      <c r="F81" s="5" t="s">
        <v>1111</v>
      </c>
      <c r="G81" s="5">
        <v>4</v>
      </c>
      <c r="H81" s="5" t="s">
        <v>2155</v>
      </c>
    </row>
    <row r="82" spans="1:8" x14ac:dyDescent="0.25">
      <c r="A82" s="5">
        <v>2</v>
      </c>
      <c r="B82" s="5">
        <v>1</v>
      </c>
      <c r="C82" s="5">
        <v>4</v>
      </c>
      <c r="D82" s="5" t="s">
        <v>1295</v>
      </c>
      <c r="E82" s="5" t="s">
        <v>1236</v>
      </c>
      <c r="F82" s="5" t="s">
        <v>1112</v>
      </c>
      <c r="G82" s="5">
        <v>1</v>
      </c>
      <c r="H82" s="5" t="s">
        <v>174</v>
      </c>
    </row>
    <row r="83" spans="1:8" x14ac:dyDescent="0.25">
      <c r="A83" s="5">
        <v>2</v>
      </c>
      <c r="B83" s="5">
        <v>1</v>
      </c>
      <c r="C83" s="61">
        <v>5</v>
      </c>
      <c r="D83" s="61" t="s">
        <v>1296</v>
      </c>
      <c r="E83" s="61" t="s">
        <v>1237</v>
      </c>
      <c r="F83" s="61" t="s">
        <v>1113</v>
      </c>
      <c r="G83" s="5">
        <v>3</v>
      </c>
      <c r="H83" s="5" t="s">
        <v>174</v>
      </c>
    </row>
    <row r="84" spans="1:8" x14ac:dyDescent="0.25">
      <c r="A84" s="5">
        <v>2</v>
      </c>
      <c r="B84" s="5">
        <v>1</v>
      </c>
      <c r="C84" s="5">
        <v>7</v>
      </c>
      <c r="D84" s="5" t="s">
        <v>2463</v>
      </c>
      <c r="E84" s="5" t="s">
        <v>1238</v>
      </c>
      <c r="F84" s="5" t="s">
        <v>1114</v>
      </c>
      <c r="G84" s="5">
        <v>3</v>
      </c>
      <c r="H84" s="5" t="s">
        <v>174</v>
      </c>
    </row>
    <row r="85" spans="1:8" x14ac:dyDescent="0.25">
      <c r="A85" s="22">
        <v>2</v>
      </c>
      <c r="B85" s="22">
        <v>1</v>
      </c>
      <c r="C85" s="22">
        <v>7</v>
      </c>
      <c r="D85" s="22" t="s">
        <v>2463</v>
      </c>
      <c r="E85" s="22" t="s">
        <v>1239</v>
      </c>
      <c r="F85" s="22" t="s">
        <v>1115</v>
      </c>
      <c r="G85" s="5">
        <v>1</v>
      </c>
      <c r="H85" s="5" t="s">
        <v>174</v>
      </c>
    </row>
    <row r="86" spans="1:8" x14ac:dyDescent="0.25">
      <c r="A86" s="5">
        <v>2</v>
      </c>
      <c r="B86" s="5">
        <v>1</v>
      </c>
      <c r="C86" s="5">
        <v>7</v>
      </c>
      <c r="D86" s="5" t="s">
        <v>2463</v>
      </c>
      <c r="E86" s="5" t="s">
        <v>1240</v>
      </c>
      <c r="F86" s="5" t="s">
        <v>1116</v>
      </c>
      <c r="G86" s="5">
        <v>1</v>
      </c>
      <c r="H86" s="5" t="s">
        <v>174</v>
      </c>
    </row>
    <row r="87" spans="1:8" x14ac:dyDescent="0.25">
      <c r="A87" s="5">
        <v>3</v>
      </c>
      <c r="B87" s="5">
        <v>3</v>
      </c>
      <c r="C87" s="5">
        <v>1</v>
      </c>
      <c r="D87" s="5" t="s">
        <v>1297</v>
      </c>
      <c r="E87" s="5" t="s">
        <v>1241</v>
      </c>
      <c r="F87" s="5" t="s">
        <v>1117</v>
      </c>
      <c r="G87" s="5">
        <v>1</v>
      </c>
      <c r="H87" s="5" t="s">
        <v>174</v>
      </c>
    </row>
    <row r="88" spans="1:8" x14ac:dyDescent="0.25">
      <c r="A88" s="5">
        <v>3</v>
      </c>
      <c r="B88" s="5">
        <v>3</v>
      </c>
      <c r="C88" s="5">
        <v>1</v>
      </c>
      <c r="D88" s="5" t="s">
        <v>1297</v>
      </c>
      <c r="E88" s="5" t="s">
        <v>1242</v>
      </c>
      <c r="F88" s="5" t="s">
        <v>1118</v>
      </c>
      <c r="G88" s="5">
        <v>1</v>
      </c>
      <c r="H88" s="5" t="s">
        <v>174</v>
      </c>
    </row>
    <row r="89" spans="1:8" x14ac:dyDescent="0.25">
      <c r="A89" s="5">
        <v>3</v>
      </c>
      <c r="B89" s="5">
        <v>3</v>
      </c>
      <c r="C89" s="5">
        <v>1</v>
      </c>
      <c r="D89" s="5" t="s">
        <v>1297</v>
      </c>
      <c r="E89" s="5" t="s">
        <v>1243</v>
      </c>
      <c r="F89" s="5" t="s">
        <v>1119</v>
      </c>
      <c r="G89" s="5">
        <v>1</v>
      </c>
      <c r="H89" s="5" t="s">
        <v>174</v>
      </c>
    </row>
    <row r="90" spans="1:8" x14ac:dyDescent="0.25">
      <c r="A90" s="5">
        <v>3</v>
      </c>
      <c r="B90" s="5">
        <v>2</v>
      </c>
      <c r="C90" s="5">
        <v>1</v>
      </c>
      <c r="D90" s="5" t="s">
        <v>1298</v>
      </c>
      <c r="E90" s="5" t="s">
        <v>1244</v>
      </c>
      <c r="F90" s="5" t="s">
        <v>1120</v>
      </c>
      <c r="G90" s="5">
        <v>1</v>
      </c>
      <c r="H90" s="5" t="s">
        <v>174</v>
      </c>
    </row>
    <row r="91" spans="1:8" x14ac:dyDescent="0.25">
      <c r="A91" s="5">
        <v>3</v>
      </c>
      <c r="B91" s="5">
        <v>2</v>
      </c>
      <c r="C91" s="5">
        <v>1</v>
      </c>
      <c r="D91" s="5" t="s">
        <v>1298</v>
      </c>
      <c r="E91" s="5" t="s">
        <v>1245</v>
      </c>
      <c r="F91" s="5" t="s">
        <v>1121</v>
      </c>
      <c r="G91" s="5">
        <v>1</v>
      </c>
      <c r="H91" s="5" t="s">
        <v>174</v>
      </c>
    </row>
    <row r="92" spans="1:8" x14ac:dyDescent="0.25">
      <c r="A92" s="5">
        <v>3</v>
      </c>
      <c r="B92" s="5">
        <v>2</v>
      </c>
      <c r="C92" s="5">
        <v>2</v>
      </c>
      <c r="D92" s="5" t="s">
        <v>1299</v>
      </c>
      <c r="E92" s="5" t="s">
        <v>1246</v>
      </c>
      <c r="F92" s="5" t="s">
        <v>1124</v>
      </c>
      <c r="G92" s="5">
        <v>2</v>
      </c>
      <c r="H92" s="5" t="s">
        <v>174</v>
      </c>
    </row>
    <row r="93" spans="1:8" x14ac:dyDescent="0.25">
      <c r="A93" s="5">
        <v>3</v>
      </c>
      <c r="B93" s="5">
        <v>2</v>
      </c>
      <c r="C93" s="5">
        <v>3</v>
      </c>
      <c r="D93" s="5" t="s">
        <v>1300</v>
      </c>
      <c r="E93" s="5" t="s">
        <v>1247</v>
      </c>
      <c r="F93" s="5" t="s">
        <v>1122</v>
      </c>
      <c r="G93" s="5">
        <v>1</v>
      </c>
      <c r="H93" s="5" t="s">
        <v>174</v>
      </c>
    </row>
    <row r="94" spans="1:8" x14ac:dyDescent="0.25">
      <c r="A94" s="5">
        <v>3</v>
      </c>
      <c r="B94" s="5">
        <v>2</v>
      </c>
      <c r="C94" s="5">
        <v>3</v>
      </c>
      <c r="D94" s="5" t="s">
        <v>1300</v>
      </c>
      <c r="E94" s="5" t="s">
        <v>1248</v>
      </c>
      <c r="F94" s="5" t="s">
        <v>1125</v>
      </c>
      <c r="G94" s="5">
        <v>1</v>
      </c>
      <c r="H94" s="5" t="s">
        <v>174</v>
      </c>
    </row>
    <row r="95" spans="1:8" x14ac:dyDescent="0.25">
      <c r="A95" s="5">
        <v>3</v>
      </c>
      <c r="B95" s="5">
        <v>2</v>
      </c>
      <c r="C95" s="5">
        <v>4</v>
      </c>
      <c r="D95" s="5" t="s">
        <v>1301</v>
      </c>
      <c r="E95" s="5" t="s">
        <v>1249</v>
      </c>
      <c r="F95" s="5" t="s">
        <v>1126</v>
      </c>
      <c r="G95" s="5">
        <v>2</v>
      </c>
      <c r="H95" s="5" t="s">
        <v>174</v>
      </c>
    </row>
    <row r="96" spans="1:8" x14ac:dyDescent="0.25">
      <c r="A96" s="5">
        <v>3</v>
      </c>
      <c r="B96" s="5">
        <v>2</v>
      </c>
      <c r="C96" s="5">
        <v>5</v>
      </c>
      <c r="D96" s="5" t="s">
        <v>1302</v>
      </c>
      <c r="E96" s="5" t="s">
        <v>1250</v>
      </c>
      <c r="F96" s="5" t="s">
        <v>1127</v>
      </c>
      <c r="G96" s="5">
        <v>3</v>
      </c>
      <c r="H96" s="5" t="s">
        <v>174</v>
      </c>
    </row>
    <row r="97" spans="1:8" x14ac:dyDescent="0.25">
      <c r="A97" s="5">
        <v>3</v>
      </c>
      <c r="B97" s="5">
        <v>2</v>
      </c>
      <c r="C97" s="5">
        <v>6</v>
      </c>
      <c r="D97" s="5" t="s">
        <v>1303</v>
      </c>
      <c r="E97" s="5" t="s">
        <v>1251</v>
      </c>
      <c r="F97" s="5" t="s">
        <v>1123</v>
      </c>
      <c r="G97" s="5">
        <v>1</v>
      </c>
      <c r="H97" s="5" t="s">
        <v>174</v>
      </c>
    </row>
    <row r="98" spans="1:8" x14ac:dyDescent="0.25">
      <c r="A98" s="5">
        <v>3</v>
      </c>
      <c r="B98" s="5">
        <v>2</v>
      </c>
      <c r="C98" s="5">
        <v>6</v>
      </c>
      <c r="D98" s="5" t="s">
        <v>1303</v>
      </c>
      <c r="E98" s="5" t="s">
        <v>1252</v>
      </c>
      <c r="F98" s="5" t="s">
        <v>1128</v>
      </c>
      <c r="G98" s="5">
        <v>1</v>
      </c>
      <c r="H98" s="5" t="s">
        <v>174</v>
      </c>
    </row>
    <row r="99" spans="1:8" x14ac:dyDescent="0.25">
      <c r="A99" s="5">
        <v>3</v>
      </c>
      <c r="B99" s="5">
        <v>2</v>
      </c>
      <c r="C99" s="5">
        <v>7</v>
      </c>
      <c r="D99" s="5" t="s">
        <v>1304</v>
      </c>
      <c r="E99" s="5" t="s">
        <v>1253</v>
      </c>
      <c r="F99" s="5" t="s">
        <v>1129</v>
      </c>
      <c r="G99" s="5">
        <v>1</v>
      </c>
      <c r="H99" s="5" t="s">
        <v>1130</v>
      </c>
    </row>
    <row r="100" spans="1:8" x14ac:dyDescent="0.25">
      <c r="A100" s="5">
        <v>3</v>
      </c>
      <c r="B100" s="5">
        <v>2</v>
      </c>
      <c r="C100" s="5">
        <v>7</v>
      </c>
      <c r="D100" s="5" t="s">
        <v>1304</v>
      </c>
      <c r="E100" s="5" t="s">
        <v>1254</v>
      </c>
      <c r="F100" s="5" t="s">
        <v>1131</v>
      </c>
      <c r="G100" s="5">
        <v>1</v>
      </c>
      <c r="H100" s="5" t="s">
        <v>1105</v>
      </c>
    </row>
    <row r="101" spans="1:8" x14ac:dyDescent="0.25">
      <c r="A101" s="5">
        <v>3</v>
      </c>
      <c r="B101" s="5">
        <v>2</v>
      </c>
      <c r="C101" s="5">
        <v>8</v>
      </c>
      <c r="D101" s="5" t="s">
        <v>1305</v>
      </c>
      <c r="E101" s="5" t="s">
        <v>1255</v>
      </c>
      <c r="F101" s="5" t="s">
        <v>1132</v>
      </c>
      <c r="G101" s="5">
        <v>1</v>
      </c>
      <c r="H101" s="5" t="s">
        <v>1078</v>
      </c>
    </row>
    <row r="102" spans="1:8" x14ac:dyDescent="0.25">
      <c r="A102" s="5">
        <v>3</v>
      </c>
      <c r="B102" s="5">
        <v>2</v>
      </c>
      <c r="C102" s="5">
        <v>8</v>
      </c>
      <c r="D102" s="5" t="s">
        <v>1305</v>
      </c>
      <c r="E102" s="5" t="s">
        <v>1256</v>
      </c>
      <c r="F102" s="5" t="s">
        <v>1133</v>
      </c>
      <c r="G102" s="5">
        <v>1</v>
      </c>
      <c r="H102" s="5" t="s">
        <v>1078</v>
      </c>
    </row>
    <row r="103" spans="1:8" x14ac:dyDescent="0.25">
      <c r="A103" s="5">
        <v>3</v>
      </c>
      <c r="B103" s="5">
        <v>2</v>
      </c>
      <c r="C103" s="5">
        <v>8</v>
      </c>
      <c r="D103" s="5" t="s">
        <v>1305</v>
      </c>
      <c r="E103" s="5" t="s">
        <v>1257</v>
      </c>
      <c r="F103" s="5" t="s">
        <v>1134</v>
      </c>
      <c r="G103" s="5">
        <v>3</v>
      </c>
      <c r="H103" s="5" t="s">
        <v>1078</v>
      </c>
    </row>
    <row r="104" spans="1:8" x14ac:dyDescent="0.25">
      <c r="A104" s="5">
        <v>3</v>
      </c>
      <c r="B104" s="5">
        <v>2</v>
      </c>
      <c r="C104" s="5">
        <v>8</v>
      </c>
      <c r="D104" s="5" t="s">
        <v>1305</v>
      </c>
      <c r="E104" s="5" t="s">
        <v>1258</v>
      </c>
      <c r="F104" s="5" t="s">
        <v>1135</v>
      </c>
      <c r="G104" s="5">
        <v>0.5</v>
      </c>
      <c r="H104" s="5" t="s">
        <v>1078</v>
      </c>
    </row>
    <row r="105" spans="1:8" x14ac:dyDescent="0.25">
      <c r="A105" s="5">
        <v>3</v>
      </c>
      <c r="B105" s="5">
        <v>2</v>
      </c>
      <c r="C105" s="5">
        <v>8</v>
      </c>
      <c r="D105" s="5" t="s">
        <v>1305</v>
      </c>
      <c r="E105" s="5" t="s">
        <v>1259</v>
      </c>
      <c r="F105" s="5" t="s">
        <v>1136</v>
      </c>
      <c r="G105" s="5">
        <v>0.25</v>
      </c>
      <c r="H105" s="5" t="s">
        <v>1078</v>
      </c>
    </row>
    <row r="106" spans="1:8" x14ac:dyDescent="0.25">
      <c r="A106" s="5">
        <v>3</v>
      </c>
      <c r="B106" s="5">
        <v>2</v>
      </c>
      <c r="C106" s="5">
        <v>8</v>
      </c>
      <c r="D106" s="5" t="s">
        <v>1305</v>
      </c>
      <c r="E106" s="5" t="s">
        <v>1260</v>
      </c>
      <c r="F106" s="5" t="s">
        <v>1137</v>
      </c>
      <c r="G106" s="5">
        <v>1</v>
      </c>
      <c r="H106" s="5" t="s">
        <v>1078</v>
      </c>
    </row>
    <row r="107" spans="1:8" x14ac:dyDescent="0.25">
      <c r="A107" s="5">
        <v>3</v>
      </c>
      <c r="B107" s="5">
        <v>2</v>
      </c>
      <c r="C107" s="5">
        <v>8</v>
      </c>
      <c r="D107" s="5" t="s">
        <v>1305</v>
      </c>
      <c r="E107" s="5" t="s">
        <v>1261</v>
      </c>
      <c r="F107" s="5" t="s">
        <v>1138</v>
      </c>
      <c r="G107" s="5">
        <v>0.25</v>
      </c>
      <c r="H107" s="5" t="s">
        <v>1078</v>
      </c>
    </row>
    <row r="108" spans="1:8" x14ac:dyDescent="0.25">
      <c r="A108" s="5">
        <v>3</v>
      </c>
      <c r="B108" s="5">
        <v>2</v>
      </c>
      <c r="C108" s="5">
        <v>8</v>
      </c>
      <c r="D108" s="5" t="s">
        <v>1305</v>
      </c>
      <c r="E108" s="5" t="s">
        <v>1262</v>
      </c>
      <c r="F108" s="5" t="s">
        <v>1140</v>
      </c>
      <c r="G108" s="5">
        <v>0.25</v>
      </c>
      <c r="H108" s="5" t="s">
        <v>1078</v>
      </c>
    </row>
    <row r="109" spans="1:8" x14ac:dyDescent="0.25">
      <c r="A109" s="5">
        <v>3</v>
      </c>
      <c r="B109" s="5">
        <v>2</v>
      </c>
      <c r="C109" s="5">
        <v>8</v>
      </c>
      <c r="D109" s="5" t="s">
        <v>1305</v>
      </c>
      <c r="E109" s="5" t="s">
        <v>1263</v>
      </c>
      <c r="F109" s="5" t="s">
        <v>1139</v>
      </c>
      <c r="G109" s="5">
        <v>0.5</v>
      </c>
      <c r="H109" s="5" t="s">
        <v>1078</v>
      </c>
    </row>
    <row r="110" spans="1:8" x14ac:dyDescent="0.25">
      <c r="A110" s="5">
        <v>3</v>
      </c>
      <c r="B110" s="5">
        <v>1</v>
      </c>
      <c r="C110" s="5">
        <v>1</v>
      </c>
      <c r="D110" s="5" t="s">
        <v>1306</v>
      </c>
      <c r="E110" s="5" t="s">
        <v>1264</v>
      </c>
      <c r="F110" s="5" t="s">
        <v>1141</v>
      </c>
      <c r="G110" s="5">
        <v>1</v>
      </c>
      <c r="H110" s="5" t="s">
        <v>174</v>
      </c>
    </row>
    <row r="111" spans="1:8" x14ac:dyDescent="0.25">
      <c r="A111" s="5">
        <v>4</v>
      </c>
      <c r="B111" s="5">
        <v>1</v>
      </c>
      <c r="C111" s="5">
        <v>1</v>
      </c>
      <c r="D111" s="5" t="s">
        <v>1307</v>
      </c>
      <c r="E111" s="5" t="s">
        <v>1265</v>
      </c>
      <c r="F111" s="5" t="s">
        <v>1142</v>
      </c>
      <c r="G111" s="5">
        <v>2</v>
      </c>
      <c r="H111" s="5" t="s">
        <v>174</v>
      </c>
    </row>
    <row r="112" spans="1:8" x14ac:dyDescent="0.25">
      <c r="A112" s="5">
        <v>4</v>
      </c>
      <c r="B112" s="5">
        <v>1</v>
      </c>
      <c r="C112" s="5">
        <v>1</v>
      </c>
      <c r="D112" s="5" t="s">
        <v>1307</v>
      </c>
      <c r="E112" s="5" t="s">
        <v>1266</v>
      </c>
      <c r="F112" s="5" t="s">
        <v>1143</v>
      </c>
      <c r="G112" s="5">
        <v>5</v>
      </c>
      <c r="H112" s="5" t="s">
        <v>174</v>
      </c>
    </row>
    <row r="113" spans="1:8" x14ac:dyDescent="0.25">
      <c r="A113" s="5">
        <v>4</v>
      </c>
      <c r="B113" s="5">
        <v>1</v>
      </c>
      <c r="C113" s="5">
        <v>1</v>
      </c>
      <c r="D113" s="5" t="s">
        <v>1307</v>
      </c>
      <c r="E113" s="5" t="s">
        <v>2443</v>
      </c>
      <c r="F113" s="5" t="s">
        <v>1147</v>
      </c>
      <c r="G113" s="5">
        <v>1</v>
      </c>
      <c r="H113" s="5" t="s">
        <v>174</v>
      </c>
    </row>
    <row r="114" spans="1:8" x14ac:dyDescent="0.25">
      <c r="A114" s="5">
        <v>4</v>
      </c>
      <c r="B114" s="5">
        <v>1</v>
      </c>
      <c r="C114" s="5">
        <v>1</v>
      </c>
      <c r="D114" s="5" t="s">
        <v>1307</v>
      </c>
      <c r="E114" s="5" t="s">
        <v>2444</v>
      </c>
      <c r="F114" s="5" t="s">
        <v>1144</v>
      </c>
      <c r="G114" s="5">
        <v>2</v>
      </c>
      <c r="H114" s="5" t="s">
        <v>174</v>
      </c>
    </row>
    <row r="115" spans="1:8" x14ac:dyDescent="0.25">
      <c r="A115" s="5">
        <v>4</v>
      </c>
      <c r="B115" s="5">
        <v>1</v>
      </c>
      <c r="C115" s="5">
        <v>1</v>
      </c>
      <c r="D115" s="5" t="s">
        <v>1307</v>
      </c>
      <c r="E115" s="5" t="s">
        <v>2445</v>
      </c>
      <c r="F115" s="5" t="s">
        <v>1145</v>
      </c>
      <c r="G115" s="5">
        <v>2</v>
      </c>
      <c r="H115" s="5" t="s">
        <v>174</v>
      </c>
    </row>
    <row r="116" spans="1:8" x14ac:dyDescent="0.25">
      <c r="A116" s="5">
        <v>4</v>
      </c>
      <c r="B116" s="5">
        <v>1</v>
      </c>
      <c r="C116" s="5">
        <v>1</v>
      </c>
      <c r="D116" s="5" t="s">
        <v>1307</v>
      </c>
      <c r="E116" s="5" t="s">
        <v>2446</v>
      </c>
      <c r="F116" s="5" t="s">
        <v>1146</v>
      </c>
      <c r="G116" s="5">
        <v>2</v>
      </c>
      <c r="H116" s="5" t="s">
        <v>174</v>
      </c>
    </row>
    <row r="117" spans="1:8" x14ac:dyDescent="0.25">
      <c r="A117" s="5">
        <v>4</v>
      </c>
      <c r="B117" s="5">
        <v>1</v>
      </c>
      <c r="C117" s="5">
        <v>1</v>
      </c>
      <c r="D117" s="5" t="s">
        <v>1307</v>
      </c>
      <c r="E117" s="5" t="s">
        <v>2447</v>
      </c>
      <c r="F117" s="5" t="s">
        <v>1148</v>
      </c>
      <c r="G117" s="5">
        <v>1</v>
      </c>
      <c r="H117" s="5" t="s">
        <v>174</v>
      </c>
    </row>
    <row r="118" spans="1:8" x14ac:dyDescent="0.25">
      <c r="A118" s="5">
        <v>4</v>
      </c>
      <c r="B118" s="5">
        <v>1</v>
      </c>
      <c r="C118" s="5">
        <v>1</v>
      </c>
      <c r="D118" s="5" t="s">
        <v>1307</v>
      </c>
      <c r="E118" s="5" t="s">
        <v>2448</v>
      </c>
      <c r="F118" s="5" t="s">
        <v>1149</v>
      </c>
      <c r="G118" s="5">
        <v>2</v>
      </c>
      <c r="H118" s="5" t="s">
        <v>174</v>
      </c>
    </row>
    <row r="119" spans="1:8" x14ac:dyDescent="0.25">
      <c r="A119" s="5">
        <v>4</v>
      </c>
      <c r="B119" s="5">
        <v>1</v>
      </c>
      <c r="C119" s="5">
        <v>1</v>
      </c>
      <c r="D119" s="5" t="s">
        <v>1307</v>
      </c>
      <c r="E119" s="5" t="s">
        <v>2449</v>
      </c>
      <c r="F119" s="5" t="s">
        <v>1150</v>
      </c>
      <c r="G119" s="5">
        <v>1</v>
      </c>
      <c r="H119" s="5" t="s">
        <v>174</v>
      </c>
    </row>
    <row r="120" spans="1:8" x14ac:dyDescent="0.25">
      <c r="A120" s="5">
        <v>4</v>
      </c>
      <c r="B120" s="5">
        <v>1</v>
      </c>
      <c r="C120" s="5">
        <v>1</v>
      </c>
      <c r="D120" s="5" t="s">
        <v>1307</v>
      </c>
      <c r="E120" s="5" t="s">
        <v>2450</v>
      </c>
      <c r="F120" s="5" t="s">
        <v>1151</v>
      </c>
      <c r="G120" s="5">
        <v>1</v>
      </c>
      <c r="H120" s="5" t="s">
        <v>174</v>
      </c>
    </row>
    <row r="121" spans="1:8" x14ac:dyDescent="0.25">
      <c r="A121" s="5">
        <v>4</v>
      </c>
      <c r="B121" s="5">
        <v>1</v>
      </c>
      <c r="C121" s="5">
        <v>1</v>
      </c>
      <c r="D121" s="5" t="s">
        <v>1307</v>
      </c>
      <c r="E121" s="5" t="s">
        <v>2451</v>
      </c>
      <c r="F121" s="5" t="s">
        <v>1152</v>
      </c>
      <c r="G121" s="5">
        <v>1</v>
      </c>
      <c r="H121" s="5" t="s">
        <v>174</v>
      </c>
    </row>
    <row r="122" spans="1:8" x14ac:dyDescent="0.25">
      <c r="A122" s="5">
        <v>4</v>
      </c>
      <c r="B122" s="5">
        <v>1</v>
      </c>
      <c r="C122" s="5">
        <v>1</v>
      </c>
      <c r="D122" s="5" t="s">
        <v>1307</v>
      </c>
      <c r="E122" s="5" t="s">
        <v>2452</v>
      </c>
      <c r="F122" s="5" t="s">
        <v>1153</v>
      </c>
      <c r="G122" s="5">
        <v>2</v>
      </c>
      <c r="H122" s="5" t="s">
        <v>174</v>
      </c>
    </row>
    <row r="123" spans="1:8" x14ac:dyDescent="0.25">
      <c r="A123" s="5">
        <v>4</v>
      </c>
      <c r="B123" s="5">
        <v>1</v>
      </c>
      <c r="C123" s="5">
        <v>1</v>
      </c>
      <c r="D123" s="5" t="s">
        <v>1307</v>
      </c>
      <c r="E123" s="5" t="s">
        <v>2453</v>
      </c>
      <c r="F123" s="5" t="s">
        <v>1163</v>
      </c>
      <c r="G123" s="5">
        <v>1</v>
      </c>
      <c r="H123" s="5" t="s">
        <v>174</v>
      </c>
    </row>
    <row r="124" spans="1:8" x14ac:dyDescent="0.25">
      <c r="A124" s="5">
        <v>4</v>
      </c>
      <c r="B124" s="5">
        <v>1</v>
      </c>
      <c r="C124" s="5">
        <v>1</v>
      </c>
      <c r="D124" s="5" t="s">
        <v>1307</v>
      </c>
      <c r="E124" s="5" t="s">
        <v>2454</v>
      </c>
      <c r="F124" s="5" t="s">
        <v>1154</v>
      </c>
      <c r="G124" s="5">
        <v>2</v>
      </c>
      <c r="H124" s="5" t="s">
        <v>174</v>
      </c>
    </row>
    <row r="125" spans="1:8" x14ac:dyDescent="0.25">
      <c r="A125" s="5">
        <v>4</v>
      </c>
      <c r="B125" s="5">
        <v>1</v>
      </c>
      <c r="C125" s="5">
        <v>1</v>
      </c>
      <c r="D125" s="5" t="s">
        <v>1307</v>
      </c>
      <c r="E125" s="5" t="s">
        <v>2455</v>
      </c>
      <c r="F125" s="5" t="s">
        <v>1155</v>
      </c>
      <c r="G125" s="5">
        <v>1</v>
      </c>
      <c r="H125" s="5" t="s">
        <v>174</v>
      </c>
    </row>
    <row r="126" spans="1:8" x14ac:dyDescent="0.25">
      <c r="A126" s="5">
        <v>5</v>
      </c>
      <c r="B126" s="5">
        <v>1</v>
      </c>
      <c r="C126" s="5">
        <v>1</v>
      </c>
      <c r="D126" s="5" t="s">
        <v>1308</v>
      </c>
      <c r="E126" s="5" t="s">
        <v>2456</v>
      </c>
      <c r="F126" s="5" t="s">
        <v>1156</v>
      </c>
      <c r="G126" s="5">
        <v>1</v>
      </c>
      <c r="H126" s="5" t="s">
        <v>174</v>
      </c>
    </row>
    <row r="127" spans="1:8" x14ac:dyDescent="0.25">
      <c r="A127" s="5">
        <v>5</v>
      </c>
      <c r="B127" s="5">
        <v>1</v>
      </c>
      <c r="C127" s="5">
        <v>1</v>
      </c>
      <c r="D127" s="5" t="s">
        <v>1308</v>
      </c>
      <c r="E127" s="5" t="s">
        <v>2457</v>
      </c>
      <c r="F127" s="5" t="s">
        <v>1157</v>
      </c>
      <c r="G127" s="5">
        <v>1</v>
      </c>
      <c r="H127" s="5" t="s">
        <v>174</v>
      </c>
    </row>
    <row r="128" spans="1:8" x14ac:dyDescent="0.25">
      <c r="A128" s="5">
        <v>5</v>
      </c>
      <c r="B128" s="5">
        <v>1</v>
      </c>
      <c r="C128" s="5">
        <v>1</v>
      </c>
      <c r="D128" s="5" t="s">
        <v>1308</v>
      </c>
      <c r="E128" s="5" t="s">
        <v>2458</v>
      </c>
      <c r="F128" s="5" t="s">
        <v>1158</v>
      </c>
      <c r="G128" s="5">
        <v>11</v>
      </c>
      <c r="H128" s="5" t="s">
        <v>174</v>
      </c>
    </row>
    <row r="129" spans="1:8" x14ac:dyDescent="0.25">
      <c r="A129" s="5">
        <v>5</v>
      </c>
      <c r="B129" s="5">
        <v>1</v>
      </c>
      <c r="C129" s="5">
        <v>1</v>
      </c>
      <c r="D129" s="5" t="s">
        <v>1308</v>
      </c>
      <c r="E129" s="5" t="s">
        <v>2459</v>
      </c>
      <c r="F129" s="5" t="s">
        <v>1159</v>
      </c>
      <c r="G129" s="5">
        <v>2</v>
      </c>
      <c r="H129" s="5" t="s">
        <v>174</v>
      </c>
    </row>
    <row r="130" spans="1:8" x14ac:dyDescent="0.25">
      <c r="A130" s="5">
        <v>5</v>
      </c>
      <c r="B130" s="5">
        <v>1</v>
      </c>
      <c r="C130" s="5">
        <v>1</v>
      </c>
      <c r="D130" s="5" t="s">
        <v>1308</v>
      </c>
      <c r="E130" s="5" t="s">
        <v>2460</v>
      </c>
      <c r="F130" s="5" t="s">
        <v>1160</v>
      </c>
      <c r="G130" s="5">
        <v>1</v>
      </c>
      <c r="H130" s="5" t="s">
        <v>174</v>
      </c>
    </row>
    <row r="131" spans="1:8" x14ac:dyDescent="0.25">
      <c r="A131" s="5">
        <v>5</v>
      </c>
      <c r="B131" s="5">
        <v>1</v>
      </c>
      <c r="C131" s="5">
        <v>1</v>
      </c>
      <c r="D131" s="5" t="s">
        <v>1308</v>
      </c>
      <c r="E131" s="5" t="s">
        <v>2461</v>
      </c>
      <c r="F131" s="5" t="s">
        <v>1161</v>
      </c>
      <c r="G131" s="5">
        <v>2</v>
      </c>
      <c r="H131" s="5" t="s">
        <v>174</v>
      </c>
    </row>
    <row r="132" spans="1:8" x14ac:dyDescent="0.25">
      <c r="A132" s="5">
        <v>5</v>
      </c>
      <c r="B132" s="5">
        <v>1</v>
      </c>
      <c r="C132" s="5">
        <v>1</v>
      </c>
      <c r="D132" s="5" t="s">
        <v>1308</v>
      </c>
      <c r="E132" s="5" t="s">
        <v>2462</v>
      </c>
      <c r="F132" s="5" t="s">
        <v>1162</v>
      </c>
      <c r="G132" s="5">
        <v>1</v>
      </c>
      <c r="H132" s="5" t="s">
        <v>174</v>
      </c>
    </row>
  </sheetData>
  <autoFilter ref="A1:H132" xr:uid="{FC528FEB-E8AF-45E9-9D89-732BAAE20E03}"/>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6904A-C296-4D78-BBF1-FDB299EE7A2F}">
  <dimension ref="A1:J6"/>
  <sheetViews>
    <sheetView workbookViewId="0">
      <selection activeCell="F9" sqref="F9"/>
    </sheetView>
  </sheetViews>
  <sheetFormatPr baseColWidth="10" defaultRowHeight="15" x14ac:dyDescent="0.25"/>
  <cols>
    <col min="1" max="1" width="10.140625" bestFit="1" customWidth="1"/>
    <col min="2" max="2" width="53.42578125" bestFit="1" customWidth="1"/>
    <col min="3" max="3" width="44.28515625" bestFit="1" customWidth="1"/>
    <col min="4" max="5" width="11.28515625" bestFit="1" customWidth="1"/>
    <col min="6" max="6" width="38.85546875" bestFit="1" customWidth="1"/>
    <col min="7" max="7" width="70.140625" bestFit="1" customWidth="1"/>
    <col min="8" max="8" width="8.7109375" bestFit="1" customWidth="1"/>
    <col min="9" max="9" width="13.140625" bestFit="1" customWidth="1"/>
    <col min="10" max="10" width="22.42578125" bestFit="1" customWidth="1"/>
  </cols>
  <sheetData>
    <row r="1" spans="1:10" x14ac:dyDescent="0.25">
      <c r="A1" s="1" t="s">
        <v>0</v>
      </c>
      <c r="B1" s="1" t="s">
        <v>2164</v>
      </c>
      <c r="C1" s="1" t="s">
        <v>2165</v>
      </c>
      <c r="D1" s="1" t="s">
        <v>2291</v>
      </c>
      <c r="E1" s="1" t="s">
        <v>2292</v>
      </c>
      <c r="F1" s="1" t="s">
        <v>140</v>
      </c>
      <c r="G1" s="1" t="s">
        <v>150</v>
      </c>
      <c r="H1" s="1" t="s">
        <v>2166</v>
      </c>
      <c r="I1" s="1" t="s">
        <v>2167</v>
      </c>
      <c r="J1" s="1" t="s">
        <v>2192</v>
      </c>
    </row>
    <row r="2" spans="1:10" x14ac:dyDescent="0.25">
      <c r="A2" t="s">
        <v>2185</v>
      </c>
      <c r="B2" t="s">
        <v>2160</v>
      </c>
      <c r="C2" t="s">
        <v>2173</v>
      </c>
      <c r="D2">
        <v>3148487797</v>
      </c>
      <c r="F2" t="s">
        <v>2182</v>
      </c>
      <c r="G2" t="s">
        <v>2177</v>
      </c>
      <c r="H2" t="s">
        <v>2169</v>
      </c>
      <c r="I2" t="s">
        <v>2190</v>
      </c>
      <c r="J2">
        <v>24000</v>
      </c>
    </row>
    <row r="3" spans="1:10" x14ac:dyDescent="0.25">
      <c r="A3" t="s">
        <v>2186</v>
      </c>
      <c r="B3" t="s">
        <v>2161</v>
      </c>
      <c r="C3" t="s">
        <v>2174</v>
      </c>
      <c r="D3">
        <v>3102552243</v>
      </c>
      <c r="E3">
        <v>3202111359</v>
      </c>
      <c r="F3" t="s">
        <v>2183</v>
      </c>
      <c r="G3" t="s">
        <v>2178</v>
      </c>
      <c r="H3" t="s">
        <v>2170</v>
      </c>
      <c r="I3" t="s">
        <v>2191</v>
      </c>
      <c r="J3">
        <v>20000</v>
      </c>
    </row>
    <row r="4" spans="1:10" x14ac:dyDescent="0.25">
      <c r="A4" t="s">
        <v>2187</v>
      </c>
      <c r="B4" t="s">
        <v>2162</v>
      </c>
      <c r="C4" t="s">
        <v>2162</v>
      </c>
      <c r="D4">
        <v>3132119704</v>
      </c>
      <c r="F4" t="s">
        <v>2184</v>
      </c>
      <c r="G4" t="s">
        <v>2179</v>
      </c>
      <c r="H4" t="s">
        <v>2171</v>
      </c>
      <c r="I4" t="s">
        <v>2190</v>
      </c>
      <c r="J4">
        <v>50000</v>
      </c>
    </row>
    <row r="5" spans="1:10" x14ac:dyDescent="0.25">
      <c r="A5" t="s">
        <v>2188</v>
      </c>
      <c r="B5" t="s">
        <v>2163</v>
      </c>
      <c r="C5" t="s">
        <v>2175</v>
      </c>
      <c r="D5">
        <v>3113678086</v>
      </c>
      <c r="F5" t="s">
        <v>2193</v>
      </c>
      <c r="G5" t="s">
        <v>2180</v>
      </c>
      <c r="H5" t="s">
        <v>2172</v>
      </c>
      <c r="I5" t="s">
        <v>2190</v>
      </c>
      <c r="J5">
        <v>30000</v>
      </c>
    </row>
    <row r="6" spans="1:10" x14ac:dyDescent="0.25">
      <c r="A6" t="s">
        <v>2189</v>
      </c>
      <c r="B6" t="s">
        <v>2168</v>
      </c>
      <c r="C6" t="s">
        <v>2176</v>
      </c>
      <c r="D6">
        <v>3185166793</v>
      </c>
      <c r="F6" t="s">
        <v>2194</v>
      </c>
      <c r="G6" t="s">
        <v>2181</v>
      </c>
      <c r="H6" t="s">
        <v>2195</v>
      </c>
      <c r="I6" t="s">
        <v>2190</v>
      </c>
      <c r="J6">
        <v>70000</v>
      </c>
    </row>
  </sheetData>
  <phoneticPr fontId="4" type="noConversion"/>
  <hyperlinks>
    <hyperlink ref="G2" r:id="rId1" xr:uid="{AC7DA742-2437-4BD4-900F-2ED78172D971}"/>
    <hyperlink ref="G3" r:id="rId2" xr:uid="{CDE68E6B-7D7D-4872-96E2-AF0FEEE64D5F}"/>
    <hyperlink ref="G4" r:id="rId3" xr:uid="{AB961599-B5D4-4CB2-B5CF-9E2C77E7D83A}"/>
    <hyperlink ref="G5" r:id="rId4" xr:uid="{EC1A6529-8744-487D-B323-8D201C344D2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0DD34-65A8-4AFC-B565-73E7D34ED082}">
  <dimension ref="A1:I31"/>
  <sheetViews>
    <sheetView workbookViewId="0">
      <selection activeCell="B27" sqref="B27"/>
    </sheetView>
  </sheetViews>
  <sheetFormatPr baseColWidth="10" defaultColWidth="18.7109375" defaultRowHeight="15" x14ac:dyDescent="0.25"/>
  <cols>
    <col min="1" max="1" width="29.5703125" bestFit="1" customWidth="1"/>
    <col min="2" max="2" width="22.5703125" bestFit="1" customWidth="1"/>
    <col min="3" max="3" width="21" bestFit="1" customWidth="1"/>
  </cols>
  <sheetData>
    <row r="1" spans="1:9" x14ac:dyDescent="0.25">
      <c r="A1" t="s">
        <v>2223</v>
      </c>
      <c r="B1" t="s">
        <v>2277</v>
      </c>
    </row>
    <row r="2" spans="1:9" s="15" customFormat="1" ht="30" x14ac:dyDescent="0.25">
      <c r="A2" s="26" t="s">
        <v>2222</v>
      </c>
      <c r="B2" s="26" t="s">
        <v>2275</v>
      </c>
      <c r="C2" s="26"/>
      <c r="D2" s="26"/>
      <c r="E2" s="26" t="s">
        <v>2230</v>
      </c>
      <c r="F2" s="26">
        <v>100000</v>
      </c>
    </row>
    <row r="3" spans="1:9" ht="45" x14ac:dyDescent="0.25">
      <c r="B3" s="26" t="s">
        <v>2225</v>
      </c>
      <c r="C3" s="26" t="s">
        <v>2224</v>
      </c>
      <c r="D3" s="26" t="s">
        <v>2226</v>
      </c>
      <c r="E3" s="26" t="s">
        <v>2229</v>
      </c>
      <c r="F3" s="26" t="s">
        <v>2227</v>
      </c>
      <c r="G3" s="26" t="s">
        <v>209</v>
      </c>
      <c r="H3" s="26" t="s">
        <v>2228</v>
      </c>
      <c r="I3" s="26" t="s">
        <v>2246</v>
      </c>
    </row>
    <row r="4" spans="1:9" x14ac:dyDescent="0.25">
      <c r="B4" t="s">
        <v>27</v>
      </c>
      <c r="C4" t="s">
        <v>16</v>
      </c>
      <c r="D4" s="11">
        <v>0</v>
      </c>
      <c r="E4" s="13">
        <f>+D4*$F$2</f>
        <v>0</v>
      </c>
      <c r="F4" t="s">
        <v>146</v>
      </c>
      <c r="G4" t="s">
        <v>146</v>
      </c>
      <c r="H4" s="4">
        <v>4400</v>
      </c>
      <c r="I4" s="4">
        <f>+H4*E4</f>
        <v>0</v>
      </c>
    </row>
    <row r="5" spans="1:9" x14ac:dyDescent="0.25">
      <c r="B5" t="s">
        <v>33</v>
      </c>
      <c r="C5" t="s">
        <v>20</v>
      </c>
      <c r="D5" s="11">
        <v>2.3809523809523812E-4</v>
      </c>
      <c r="E5" s="13">
        <f t="shared" ref="E5:E7" si="0">+D5*$F$2</f>
        <v>23.809523809523814</v>
      </c>
      <c r="F5" t="s">
        <v>146</v>
      </c>
      <c r="G5" t="s">
        <v>146</v>
      </c>
      <c r="H5" s="4">
        <v>3333</v>
      </c>
      <c r="I5" s="4">
        <f t="shared" ref="I5:I7" si="1">+H5*E5</f>
        <v>79357.14285714287</v>
      </c>
    </row>
    <row r="6" spans="1:9" x14ac:dyDescent="0.25">
      <c r="B6" t="s">
        <v>35</v>
      </c>
      <c r="C6" t="s">
        <v>26</v>
      </c>
      <c r="D6" s="11">
        <v>9.090909090909091E-6</v>
      </c>
      <c r="E6" s="13">
        <f t="shared" si="0"/>
        <v>0.90909090909090906</v>
      </c>
      <c r="F6" t="s">
        <v>146</v>
      </c>
      <c r="G6" t="s">
        <v>146</v>
      </c>
      <c r="H6" s="4">
        <v>23000</v>
      </c>
      <c r="I6" s="4">
        <f t="shared" si="1"/>
        <v>20909.090909090908</v>
      </c>
    </row>
    <row r="7" spans="1:9" x14ac:dyDescent="0.25">
      <c r="B7" t="s">
        <v>29</v>
      </c>
      <c r="C7" t="s">
        <v>17</v>
      </c>
      <c r="D7" s="11">
        <v>0</v>
      </c>
      <c r="E7" s="13">
        <f t="shared" si="0"/>
        <v>0</v>
      </c>
      <c r="F7" t="s">
        <v>146</v>
      </c>
      <c r="G7" t="s">
        <v>146</v>
      </c>
      <c r="H7" s="4">
        <v>1446</v>
      </c>
      <c r="I7" s="4">
        <f t="shared" si="1"/>
        <v>0</v>
      </c>
    </row>
    <row r="8" spans="1:9" x14ac:dyDescent="0.25">
      <c r="D8" s="11"/>
    </row>
    <row r="9" spans="1:9" x14ac:dyDescent="0.25">
      <c r="D9" s="11"/>
    </row>
    <row r="10" spans="1:9" ht="30" x14ac:dyDescent="0.25">
      <c r="A10" s="26" t="s">
        <v>2389</v>
      </c>
      <c r="B10" s="26" t="s">
        <v>2390</v>
      </c>
      <c r="C10" s="26"/>
      <c r="D10" s="26"/>
      <c r="E10" s="26" t="s">
        <v>2230</v>
      </c>
      <c r="F10" s="26">
        <v>100000</v>
      </c>
      <c r="G10" s="15"/>
      <c r="H10" s="15"/>
      <c r="I10" s="15"/>
    </row>
    <row r="11" spans="1:9" ht="45" x14ac:dyDescent="0.25">
      <c r="B11" s="26" t="s">
        <v>2225</v>
      </c>
      <c r="C11" s="26" t="s">
        <v>2224</v>
      </c>
      <c r="D11" s="26" t="s">
        <v>2226</v>
      </c>
      <c r="E11" s="26" t="s">
        <v>2229</v>
      </c>
      <c r="F11" s="26" t="s">
        <v>2227</v>
      </c>
      <c r="G11" s="26" t="s">
        <v>209</v>
      </c>
      <c r="H11" s="26" t="s">
        <v>2228</v>
      </c>
      <c r="I11" s="26" t="s">
        <v>2246</v>
      </c>
    </row>
    <row r="12" spans="1:9" x14ac:dyDescent="0.25">
      <c r="B12" t="s">
        <v>27</v>
      </c>
      <c r="C12" t="s">
        <v>16</v>
      </c>
      <c r="D12" s="11">
        <v>0</v>
      </c>
      <c r="E12" s="13">
        <f>+D12*$F$2</f>
        <v>0</v>
      </c>
      <c r="F12" t="s">
        <v>146</v>
      </c>
      <c r="G12" t="s">
        <v>146</v>
      </c>
      <c r="H12" s="4">
        <v>4400</v>
      </c>
      <c r="I12" s="4">
        <f>+H12*E12</f>
        <v>0</v>
      </c>
    </row>
    <row r="13" spans="1:9" x14ac:dyDescent="0.25">
      <c r="B13" t="s">
        <v>33</v>
      </c>
      <c r="C13" t="s">
        <v>20</v>
      </c>
      <c r="D13" s="11">
        <v>2.3809523809523812E-4</v>
      </c>
      <c r="E13" s="13">
        <f t="shared" ref="E13:E15" si="2">+D13*$F$2</f>
        <v>23.809523809523814</v>
      </c>
      <c r="F13" t="s">
        <v>146</v>
      </c>
      <c r="G13" t="s">
        <v>146</v>
      </c>
      <c r="H13" s="4">
        <v>3333</v>
      </c>
      <c r="I13" s="4">
        <f t="shared" ref="I13:I15" si="3">+H13*E13</f>
        <v>79357.14285714287</v>
      </c>
    </row>
    <row r="14" spans="1:9" x14ac:dyDescent="0.25">
      <c r="B14" t="s">
        <v>35</v>
      </c>
      <c r="C14" t="s">
        <v>26</v>
      </c>
      <c r="D14" s="11">
        <v>9.090909090909091E-6</v>
      </c>
      <c r="E14" s="13">
        <f t="shared" si="2"/>
        <v>0.90909090909090906</v>
      </c>
      <c r="F14" t="s">
        <v>146</v>
      </c>
      <c r="G14" t="s">
        <v>146</v>
      </c>
      <c r="H14" s="4">
        <v>23000</v>
      </c>
      <c r="I14" s="4">
        <f t="shared" si="3"/>
        <v>20909.090909090908</v>
      </c>
    </row>
    <row r="15" spans="1:9" x14ac:dyDescent="0.25">
      <c r="B15" t="s">
        <v>29</v>
      </c>
      <c r="C15" t="s">
        <v>17</v>
      </c>
      <c r="D15" s="11">
        <v>0</v>
      </c>
      <c r="E15" s="13">
        <f t="shared" si="2"/>
        <v>0</v>
      </c>
      <c r="F15" t="s">
        <v>146</v>
      </c>
      <c r="G15" t="s">
        <v>146</v>
      </c>
      <c r="H15" s="4">
        <v>1446</v>
      </c>
      <c r="I15" s="4">
        <f t="shared" si="3"/>
        <v>0</v>
      </c>
    </row>
    <row r="18" spans="1:9" ht="30" x14ac:dyDescent="0.25">
      <c r="A18" s="26" t="s">
        <v>2391</v>
      </c>
      <c r="B18" s="26" t="s">
        <v>2392</v>
      </c>
      <c r="C18" s="26"/>
      <c r="D18" s="26"/>
      <c r="E18" s="26" t="s">
        <v>2230</v>
      </c>
      <c r="F18" s="26">
        <v>100000</v>
      </c>
      <c r="G18" s="15"/>
      <c r="H18" s="15"/>
      <c r="I18" s="15"/>
    </row>
    <row r="19" spans="1:9" ht="45" x14ac:dyDescent="0.25">
      <c r="B19" s="26" t="s">
        <v>2225</v>
      </c>
      <c r="C19" s="26" t="s">
        <v>2224</v>
      </c>
      <c r="D19" s="26" t="s">
        <v>2226</v>
      </c>
      <c r="E19" s="26" t="s">
        <v>2229</v>
      </c>
      <c r="F19" s="26" t="s">
        <v>2227</v>
      </c>
      <c r="G19" s="26" t="s">
        <v>209</v>
      </c>
      <c r="H19" s="26" t="s">
        <v>2228</v>
      </c>
      <c r="I19" s="26" t="s">
        <v>2246</v>
      </c>
    </row>
    <row r="20" spans="1:9" x14ac:dyDescent="0.25">
      <c r="B20" t="s">
        <v>27</v>
      </c>
      <c r="C20" t="s">
        <v>16</v>
      </c>
      <c r="D20" s="11">
        <v>0</v>
      </c>
      <c r="E20" s="13">
        <f>+D20*$F$2</f>
        <v>0</v>
      </c>
      <c r="F20" t="s">
        <v>146</v>
      </c>
      <c r="G20" t="s">
        <v>146</v>
      </c>
      <c r="H20" s="4">
        <v>4400</v>
      </c>
      <c r="I20" s="4">
        <f>+H20*E20</f>
        <v>0</v>
      </c>
    </row>
    <row r="21" spans="1:9" x14ac:dyDescent="0.25">
      <c r="B21" t="s">
        <v>33</v>
      </c>
      <c r="C21" t="s">
        <v>20</v>
      </c>
      <c r="D21" s="11">
        <v>2.3809523809523812E-4</v>
      </c>
      <c r="E21" s="13">
        <f t="shared" ref="E21:E23" si="4">+D21*$F$2</f>
        <v>23.809523809523814</v>
      </c>
      <c r="F21" t="s">
        <v>146</v>
      </c>
      <c r="G21" t="s">
        <v>146</v>
      </c>
      <c r="H21" s="4">
        <v>3333</v>
      </c>
      <c r="I21" s="4">
        <f t="shared" ref="I21:I23" si="5">+H21*E21</f>
        <v>79357.14285714287</v>
      </c>
    </row>
    <row r="22" spans="1:9" x14ac:dyDescent="0.25">
      <c r="B22" t="s">
        <v>35</v>
      </c>
      <c r="C22" t="s">
        <v>26</v>
      </c>
      <c r="D22" s="11">
        <v>9.090909090909091E-6</v>
      </c>
      <c r="E22" s="13">
        <f t="shared" si="4"/>
        <v>0.90909090909090906</v>
      </c>
      <c r="F22" t="s">
        <v>146</v>
      </c>
      <c r="G22" t="s">
        <v>146</v>
      </c>
      <c r="H22" s="4">
        <v>23000</v>
      </c>
      <c r="I22" s="4">
        <f t="shared" si="5"/>
        <v>20909.090909090908</v>
      </c>
    </row>
    <row r="23" spans="1:9" x14ac:dyDescent="0.25">
      <c r="B23" t="s">
        <v>29</v>
      </c>
      <c r="C23" t="s">
        <v>17</v>
      </c>
      <c r="D23" s="11">
        <v>0</v>
      </c>
      <c r="E23" s="13">
        <f t="shared" si="4"/>
        <v>0</v>
      </c>
      <c r="F23" t="s">
        <v>146</v>
      </c>
      <c r="G23" t="s">
        <v>146</v>
      </c>
      <c r="H23" s="4">
        <v>1446</v>
      </c>
      <c r="I23" s="4">
        <f t="shared" si="5"/>
        <v>0</v>
      </c>
    </row>
    <row r="26" spans="1:9" ht="30" x14ac:dyDescent="0.25">
      <c r="A26" s="26" t="s">
        <v>2393</v>
      </c>
      <c r="B26" s="26" t="s">
        <v>2394</v>
      </c>
      <c r="C26" s="26"/>
      <c r="D26" s="26"/>
      <c r="E26" s="26" t="s">
        <v>2230</v>
      </c>
      <c r="F26" s="26">
        <v>100000</v>
      </c>
      <c r="G26" s="15"/>
      <c r="H26" s="15"/>
      <c r="I26" s="15"/>
    </row>
    <row r="27" spans="1:9" ht="45" x14ac:dyDescent="0.25">
      <c r="B27" s="26" t="s">
        <v>2225</v>
      </c>
      <c r="C27" s="26" t="s">
        <v>2224</v>
      </c>
      <c r="D27" s="26" t="s">
        <v>2226</v>
      </c>
      <c r="E27" s="26" t="s">
        <v>2229</v>
      </c>
      <c r="F27" s="26" t="s">
        <v>2227</v>
      </c>
      <c r="G27" s="26" t="s">
        <v>209</v>
      </c>
      <c r="H27" s="26" t="s">
        <v>2228</v>
      </c>
      <c r="I27" s="26" t="s">
        <v>2246</v>
      </c>
    </row>
    <row r="28" spans="1:9" x14ac:dyDescent="0.25">
      <c r="B28" t="s">
        <v>27</v>
      </c>
      <c r="C28" t="s">
        <v>16</v>
      </c>
      <c r="D28" s="11">
        <v>0</v>
      </c>
      <c r="E28" s="13">
        <f>+D28*$F$2</f>
        <v>0</v>
      </c>
      <c r="F28" t="s">
        <v>146</v>
      </c>
      <c r="G28" t="s">
        <v>146</v>
      </c>
      <c r="H28" s="4">
        <v>4400</v>
      </c>
      <c r="I28" s="4">
        <f>+H28*E28</f>
        <v>0</v>
      </c>
    </row>
    <row r="29" spans="1:9" x14ac:dyDescent="0.25">
      <c r="B29" t="s">
        <v>33</v>
      </c>
      <c r="C29" t="s">
        <v>20</v>
      </c>
      <c r="D29" s="11">
        <v>2.3809523809523812E-4</v>
      </c>
      <c r="E29" s="13">
        <f t="shared" ref="E29:E31" si="6">+D29*$F$2</f>
        <v>23.809523809523814</v>
      </c>
      <c r="F29" t="s">
        <v>146</v>
      </c>
      <c r="G29" t="s">
        <v>146</v>
      </c>
      <c r="H29" s="4">
        <v>3333</v>
      </c>
      <c r="I29" s="4">
        <f t="shared" ref="I29:I31" si="7">+H29*E29</f>
        <v>79357.14285714287</v>
      </c>
    </row>
    <row r="30" spans="1:9" x14ac:dyDescent="0.25">
      <c r="B30" t="s">
        <v>35</v>
      </c>
      <c r="C30" t="s">
        <v>26</v>
      </c>
      <c r="D30" s="11">
        <v>9.090909090909091E-6</v>
      </c>
      <c r="E30" s="13">
        <f t="shared" si="6"/>
        <v>0.90909090909090906</v>
      </c>
      <c r="F30" t="s">
        <v>146</v>
      </c>
      <c r="G30" t="s">
        <v>146</v>
      </c>
      <c r="H30" s="4">
        <v>23000</v>
      </c>
      <c r="I30" s="4">
        <f t="shared" si="7"/>
        <v>20909.090909090908</v>
      </c>
    </row>
    <row r="31" spans="1:9" x14ac:dyDescent="0.25">
      <c r="B31" t="s">
        <v>29</v>
      </c>
      <c r="C31" t="s">
        <v>17</v>
      </c>
      <c r="D31" s="11">
        <v>0</v>
      </c>
      <c r="E31" s="13">
        <f t="shared" si="6"/>
        <v>0</v>
      </c>
      <c r="F31" t="s">
        <v>146</v>
      </c>
      <c r="G31" t="s">
        <v>146</v>
      </c>
      <c r="H31" s="4">
        <v>1446</v>
      </c>
      <c r="I31" s="4">
        <f t="shared" si="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329B6-5F06-425C-8364-4C45F7212C57}">
  <dimension ref="A1:J12"/>
  <sheetViews>
    <sheetView workbookViewId="0">
      <selection activeCell="H11" sqref="H11"/>
    </sheetView>
  </sheetViews>
  <sheetFormatPr baseColWidth="10" defaultRowHeight="15" x14ac:dyDescent="0.25"/>
  <cols>
    <col min="2" max="2" width="23.7109375" bestFit="1" customWidth="1"/>
    <col min="3" max="3" width="15.28515625" bestFit="1" customWidth="1"/>
    <col min="4" max="4" width="18.28515625" bestFit="1" customWidth="1"/>
    <col min="5" max="5" width="17.85546875" bestFit="1" customWidth="1"/>
    <col min="6" max="6" width="17.85546875" customWidth="1"/>
    <col min="8" max="9" width="15.28515625" bestFit="1" customWidth="1"/>
  </cols>
  <sheetData>
    <row r="1" spans="1:10" x14ac:dyDescent="0.25">
      <c r="A1" s="1" t="s">
        <v>217</v>
      </c>
      <c r="B1" s="1" t="s">
        <v>2295</v>
      </c>
      <c r="C1" s="1" t="s">
        <v>2286</v>
      </c>
      <c r="D1" s="1" t="s">
        <v>2287</v>
      </c>
      <c r="E1" s="1" t="s">
        <v>2383</v>
      </c>
      <c r="F1" s="1" t="s">
        <v>2384</v>
      </c>
      <c r="G1" s="1" t="s">
        <v>2288</v>
      </c>
      <c r="H1" s="1" t="s">
        <v>2382</v>
      </c>
      <c r="I1" s="1" t="s">
        <v>2385</v>
      </c>
    </row>
    <row r="2" spans="1:10" x14ac:dyDescent="0.25">
      <c r="A2">
        <v>1</v>
      </c>
      <c r="B2" t="s">
        <v>2216</v>
      </c>
      <c r="C2" s="4">
        <v>6500000</v>
      </c>
      <c r="D2" s="4">
        <f>+C2*1.49</f>
        <v>9685000</v>
      </c>
      <c r="E2" s="32">
        <v>0</v>
      </c>
      <c r="F2" s="32">
        <v>1</v>
      </c>
      <c r="G2" t="s">
        <v>2290</v>
      </c>
      <c r="H2" s="4">
        <f>+D2*E2</f>
        <v>0</v>
      </c>
      <c r="I2" s="4">
        <f>+D2*F2</f>
        <v>9685000</v>
      </c>
    </row>
    <row r="3" spans="1:10" x14ac:dyDescent="0.25">
      <c r="A3">
        <v>2</v>
      </c>
      <c r="B3" t="s">
        <v>2217</v>
      </c>
      <c r="C3" s="4">
        <f>2520000+186667</f>
        <v>2706667</v>
      </c>
      <c r="D3" s="4">
        <f t="shared" ref="D3:D8" si="0">+C3*1.49</f>
        <v>4032933.83</v>
      </c>
      <c r="E3" s="37">
        <v>0</v>
      </c>
      <c r="F3" s="37">
        <v>1</v>
      </c>
      <c r="G3" t="s">
        <v>2290</v>
      </c>
      <c r="H3" s="4">
        <f t="shared" ref="H3:H8" si="1">+D3*E3</f>
        <v>0</v>
      </c>
      <c r="I3" s="4">
        <f t="shared" ref="I3:I8" si="2">+D3*F3</f>
        <v>4032933.83</v>
      </c>
    </row>
    <row r="4" spans="1:10" x14ac:dyDescent="0.25">
      <c r="A4">
        <v>3</v>
      </c>
      <c r="B4" t="s">
        <v>2218</v>
      </c>
      <c r="C4" s="4">
        <v>2125000</v>
      </c>
      <c r="D4" s="4">
        <f t="shared" si="0"/>
        <v>3166250</v>
      </c>
      <c r="E4" s="32">
        <v>0.5</v>
      </c>
      <c r="F4" s="32">
        <v>0.5</v>
      </c>
      <c r="G4" t="s">
        <v>2289</v>
      </c>
      <c r="H4" s="4">
        <f t="shared" si="1"/>
        <v>1583125</v>
      </c>
      <c r="I4" s="4">
        <f t="shared" si="2"/>
        <v>1583125</v>
      </c>
    </row>
    <row r="5" spans="1:10" x14ac:dyDescent="0.25">
      <c r="A5">
        <v>4</v>
      </c>
      <c r="B5" t="s">
        <v>2219</v>
      </c>
      <c r="C5" s="4">
        <v>1575000</v>
      </c>
      <c r="D5" s="4">
        <f t="shared" si="0"/>
        <v>2346750</v>
      </c>
      <c r="E5" s="32">
        <v>0.5</v>
      </c>
      <c r="F5" s="32">
        <v>0.5</v>
      </c>
      <c r="G5" t="s">
        <v>2289</v>
      </c>
      <c r="H5" s="4">
        <f t="shared" si="1"/>
        <v>1173375</v>
      </c>
      <c r="I5" s="4">
        <f t="shared" si="2"/>
        <v>1173375</v>
      </c>
    </row>
    <row r="6" spans="1:10" x14ac:dyDescent="0.25">
      <c r="A6">
        <v>5</v>
      </c>
      <c r="B6" t="s">
        <v>2220</v>
      </c>
      <c r="C6" s="4">
        <v>1575000</v>
      </c>
      <c r="D6" s="4">
        <f t="shared" si="0"/>
        <v>2346750</v>
      </c>
      <c r="E6" s="32">
        <v>0</v>
      </c>
      <c r="F6" s="32">
        <v>1</v>
      </c>
      <c r="G6" t="s">
        <v>2290</v>
      </c>
      <c r="H6" s="4">
        <f t="shared" si="1"/>
        <v>0</v>
      </c>
      <c r="I6" s="4">
        <f t="shared" si="2"/>
        <v>2346750</v>
      </c>
    </row>
    <row r="7" spans="1:10" x14ac:dyDescent="0.25">
      <c r="A7">
        <v>6</v>
      </c>
      <c r="B7" t="s">
        <v>2221</v>
      </c>
      <c r="C7" s="4">
        <v>1623500</v>
      </c>
      <c r="D7" s="4">
        <f t="shared" si="0"/>
        <v>2419015</v>
      </c>
      <c r="E7" s="32">
        <v>1</v>
      </c>
      <c r="F7" s="32">
        <v>0</v>
      </c>
      <c r="G7" t="s">
        <v>2289</v>
      </c>
      <c r="H7" s="4">
        <f t="shared" si="1"/>
        <v>2419015</v>
      </c>
      <c r="I7" s="4">
        <f t="shared" si="2"/>
        <v>0</v>
      </c>
    </row>
    <row r="8" spans="1:10" x14ac:dyDescent="0.25">
      <c r="A8">
        <v>7</v>
      </c>
      <c r="B8" t="s">
        <v>2294</v>
      </c>
      <c r="C8" s="38">
        <v>3000000</v>
      </c>
      <c r="D8" s="4">
        <f t="shared" si="0"/>
        <v>4470000</v>
      </c>
      <c r="E8" s="32">
        <v>0</v>
      </c>
      <c r="F8" s="32">
        <v>1</v>
      </c>
      <c r="G8" t="s">
        <v>2290</v>
      </c>
      <c r="H8" s="4">
        <f t="shared" si="1"/>
        <v>0</v>
      </c>
      <c r="I8" s="4">
        <f t="shared" si="2"/>
        <v>4470000</v>
      </c>
    </row>
    <row r="9" spans="1:10" x14ac:dyDescent="0.25">
      <c r="B9" t="s">
        <v>2285</v>
      </c>
      <c r="C9" s="8">
        <f>SUM(C2:C8)</f>
        <v>19105167</v>
      </c>
      <c r="D9" s="8">
        <f>SUM(D2:D8)</f>
        <v>28466698.829999998</v>
      </c>
      <c r="H9" s="8">
        <f>SUM(H2:H8)</f>
        <v>5175515</v>
      </c>
      <c r="I9" s="8">
        <f>SUM(I2:I8)</f>
        <v>23291183.829999998</v>
      </c>
    </row>
    <row r="10" spans="1:10" x14ac:dyDescent="0.25">
      <c r="H10" s="8">
        <f>+H9/H11</f>
        <v>0.66608944658944658</v>
      </c>
      <c r="I10" s="8">
        <f>+I9/H11</f>
        <v>2.9975783564993561</v>
      </c>
      <c r="J10" t="s">
        <v>2373</v>
      </c>
    </row>
    <row r="11" spans="1:10" x14ac:dyDescent="0.25">
      <c r="H11" s="40">
        <f>31080000*25%</f>
        <v>7770000</v>
      </c>
    </row>
    <row r="12" spans="1:10" x14ac:dyDescent="0.25">
      <c r="H12" s="4">
        <f>+H9/176</f>
        <v>29406.335227272728</v>
      </c>
      <c r="I12" s="4">
        <f>+I9/176</f>
        <v>132336.27176136363</v>
      </c>
      <c r="J12" t="s">
        <v>2374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8ACB2-4D9F-4948-9EDB-03064D31E7BE}">
  <dimension ref="A1:L140"/>
  <sheetViews>
    <sheetView workbookViewId="0">
      <selection activeCell="I136" sqref="I136"/>
    </sheetView>
  </sheetViews>
  <sheetFormatPr baseColWidth="10" defaultRowHeight="15" x14ac:dyDescent="0.25"/>
  <cols>
    <col min="3" max="3" width="61.42578125" bestFit="1" customWidth="1"/>
    <col min="5" max="5" width="17.42578125" bestFit="1" customWidth="1"/>
    <col min="8" max="8" width="15.28515625" bestFit="1" customWidth="1"/>
    <col min="9" max="9" width="16.42578125" bestFit="1" customWidth="1"/>
    <col min="10" max="10" width="13.85546875" customWidth="1"/>
    <col min="11" max="11" width="18" bestFit="1" customWidth="1"/>
    <col min="12" max="12" width="18.42578125" bestFit="1" customWidth="1"/>
  </cols>
  <sheetData>
    <row r="1" spans="1:12" ht="30" x14ac:dyDescent="0.25">
      <c r="A1" s="30" t="s">
        <v>217</v>
      </c>
      <c r="B1" s="30" t="s">
        <v>0</v>
      </c>
      <c r="C1" s="30" t="s">
        <v>2361</v>
      </c>
      <c r="D1" s="36" t="s">
        <v>2362</v>
      </c>
      <c r="E1" s="30" t="s">
        <v>2363</v>
      </c>
      <c r="F1" s="36" t="s">
        <v>2364</v>
      </c>
      <c r="G1" s="36" t="s">
        <v>2360</v>
      </c>
      <c r="H1" s="30" t="s">
        <v>2365</v>
      </c>
      <c r="I1" s="30" t="s">
        <v>2366</v>
      </c>
      <c r="J1" s="30" t="s">
        <v>2369</v>
      </c>
      <c r="K1" s="30" t="s">
        <v>2368</v>
      </c>
      <c r="L1" s="30" t="s">
        <v>2367</v>
      </c>
    </row>
    <row r="2" spans="1:12" x14ac:dyDescent="0.25">
      <c r="A2">
        <v>1</v>
      </c>
      <c r="B2">
        <v>117</v>
      </c>
      <c r="C2" t="s">
        <v>2297</v>
      </c>
      <c r="D2" s="34">
        <v>43313</v>
      </c>
      <c r="E2" s="9">
        <v>135375000</v>
      </c>
      <c r="F2">
        <v>10</v>
      </c>
      <c r="G2" s="32">
        <v>0.05</v>
      </c>
      <c r="H2" s="4">
        <f>+E2*G2</f>
        <v>6768750</v>
      </c>
      <c r="I2" s="4">
        <f>+(E2-H2)/F2</f>
        <v>12860625</v>
      </c>
      <c r="J2" s="35">
        <f ca="1">(TODAY()-D2)/365</f>
        <v>7.4356164383561643</v>
      </c>
      <c r="K2" s="4">
        <f ca="1">+I2*J2</f>
        <v>95626674.657534242</v>
      </c>
      <c r="L2" s="8">
        <f ca="1">+E2-K2</f>
        <v>39748325.342465758</v>
      </c>
    </row>
    <row r="3" spans="1:12" x14ac:dyDescent="0.25">
      <c r="A3">
        <v>2</v>
      </c>
      <c r="B3">
        <v>118</v>
      </c>
      <c r="C3" t="s">
        <v>2298</v>
      </c>
      <c r="D3" s="34">
        <v>43313</v>
      </c>
      <c r="E3" s="9">
        <v>72200000</v>
      </c>
      <c r="F3">
        <v>10</v>
      </c>
      <c r="G3" s="32">
        <v>0.05</v>
      </c>
      <c r="H3" s="4">
        <f t="shared" ref="H3:H66" si="0">+E3*G3</f>
        <v>3610000</v>
      </c>
      <c r="I3" s="4">
        <f t="shared" ref="I3:I66" si="1">+(E3-H3)/F3</f>
        <v>6859000</v>
      </c>
      <c r="J3" s="35">
        <f t="shared" ref="J3:J66" ca="1" si="2">(TODAY()-D3)/365</f>
        <v>7.4356164383561643</v>
      </c>
      <c r="K3" s="4">
        <f t="shared" ref="K3:K66" ca="1" si="3">+I3*J3</f>
        <v>51000893.15068493</v>
      </c>
      <c r="L3" s="8">
        <f t="shared" ref="L3:L66" ca="1" si="4">+E3-K3</f>
        <v>21199106.84931507</v>
      </c>
    </row>
    <row r="4" spans="1:12" x14ac:dyDescent="0.25">
      <c r="A4">
        <v>3</v>
      </c>
      <c r="B4">
        <v>119</v>
      </c>
      <c r="C4" t="s">
        <v>2299</v>
      </c>
      <c r="D4" s="34">
        <v>43313</v>
      </c>
      <c r="E4" s="9">
        <v>7877922.5</v>
      </c>
      <c r="F4">
        <v>8</v>
      </c>
      <c r="G4" s="33">
        <v>0</v>
      </c>
      <c r="H4" s="4">
        <f t="shared" si="0"/>
        <v>0</v>
      </c>
      <c r="I4" s="4">
        <f t="shared" si="1"/>
        <v>984740.3125</v>
      </c>
      <c r="J4" s="35">
        <f t="shared" ca="1" si="2"/>
        <v>7.4356164383561643</v>
      </c>
      <c r="K4" s="4">
        <f t="shared" ca="1" si="3"/>
        <v>7322151.2551369863</v>
      </c>
      <c r="L4" s="8">
        <f t="shared" ca="1" si="4"/>
        <v>555771.24486301374</v>
      </c>
    </row>
    <row r="5" spans="1:12" x14ac:dyDescent="0.25">
      <c r="A5">
        <v>4</v>
      </c>
      <c r="B5">
        <v>122</v>
      </c>
      <c r="C5" t="s">
        <v>2300</v>
      </c>
      <c r="D5" s="34">
        <v>43313</v>
      </c>
      <c r="E5" s="9">
        <v>27380045</v>
      </c>
      <c r="F5">
        <v>10</v>
      </c>
      <c r="G5" s="32">
        <v>0.1</v>
      </c>
      <c r="H5" s="4">
        <f t="shared" si="0"/>
        <v>2738004.5</v>
      </c>
      <c r="I5" s="4">
        <f t="shared" si="1"/>
        <v>2464204.0499999998</v>
      </c>
      <c r="J5" s="35">
        <f t="shared" ca="1" si="2"/>
        <v>7.4356164383561643</v>
      </c>
      <c r="K5" s="4">
        <f t="shared" ca="1" si="3"/>
        <v>18322876.141643833</v>
      </c>
      <c r="L5" s="8">
        <f t="shared" ca="1" si="4"/>
        <v>9057168.8583561666</v>
      </c>
    </row>
    <row r="6" spans="1:12" x14ac:dyDescent="0.25">
      <c r="A6">
        <v>5</v>
      </c>
      <c r="B6">
        <v>120</v>
      </c>
      <c r="C6" t="s">
        <v>2301</v>
      </c>
      <c r="D6" s="34">
        <v>43313</v>
      </c>
      <c r="E6" s="9">
        <v>8460937.5</v>
      </c>
      <c r="F6">
        <v>10</v>
      </c>
      <c r="G6" s="32">
        <v>0.1</v>
      </c>
      <c r="H6" s="4">
        <f t="shared" si="0"/>
        <v>846093.75</v>
      </c>
      <c r="I6" s="4">
        <f t="shared" si="1"/>
        <v>761484.375</v>
      </c>
      <c r="J6" s="35">
        <f t="shared" ca="1" si="2"/>
        <v>7.4356164383561643</v>
      </c>
      <c r="K6" s="4">
        <f t="shared" ca="1" si="3"/>
        <v>5662105.73630137</v>
      </c>
      <c r="L6" s="8">
        <f t="shared" ca="1" si="4"/>
        <v>2798831.76369863</v>
      </c>
    </row>
    <row r="7" spans="1:12" x14ac:dyDescent="0.25">
      <c r="A7">
        <v>6</v>
      </c>
      <c r="B7">
        <v>121</v>
      </c>
      <c r="C7" t="s">
        <v>2301</v>
      </c>
      <c r="D7" s="34">
        <v>43313</v>
      </c>
      <c r="E7" s="9">
        <v>8460937.5</v>
      </c>
      <c r="F7">
        <v>10</v>
      </c>
      <c r="G7" s="32">
        <v>0.1</v>
      </c>
      <c r="H7" s="4">
        <f t="shared" si="0"/>
        <v>846093.75</v>
      </c>
      <c r="I7" s="4">
        <f t="shared" si="1"/>
        <v>761484.375</v>
      </c>
      <c r="J7" s="35">
        <f t="shared" ca="1" si="2"/>
        <v>7.4356164383561643</v>
      </c>
      <c r="K7" s="4">
        <f t="shared" ca="1" si="3"/>
        <v>5662105.73630137</v>
      </c>
      <c r="L7" s="8">
        <f t="shared" ca="1" si="4"/>
        <v>2798831.76369863</v>
      </c>
    </row>
    <row r="8" spans="1:12" x14ac:dyDescent="0.25">
      <c r="A8">
        <v>7</v>
      </c>
      <c r="B8">
        <v>123</v>
      </c>
      <c r="C8" t="s">
        <v>2302</v>
      </c>
      <c r="D8" s="34">
        <v>43313</v>
      </c>
      <c r="E8" s="9">
        <v>508236557.5</v>
      </c>
      <c r="F8">
        <v>20</v>
      </c>
      <c r="G8" s="32">
        <v>0.1</v>
      </c>
      <c r="H8" s="4">
        <f t="shared" si="0"/>
        <v>50823655.75</v>
      </c>
      <c r="I8" s="4">
        <f t="shared" si="1"/>
        <v>22870645.087499999</v>
      </c>
      <c r="J8" s="35">
        <f t="shared" ca="1" si="2"/>
        <v>7.4356164383561643</v>
      </c>
      <c r="K8" s="4">
        <f t="shared" ca="1" si="3"/>
        <v>170057344.56842464</v>
      </c>
      <c r="L8" s="8">
        <f t="shared" ca="1" si="4"/>
        <v>338179212.93157536</v>
      </c>
    </row>
    <row r="9" spans="1:12" x14ac:dyDescent="0.25">
      <c r="A9">
        <v>8</v>
      </c>
      <c r="B9">
        <v>124</v>
      </c>
      <c r="C9" t="s">
        <v>2303</v>
      </c>
      <c r="D9" s="34">
        <v>43313</v>
      </c>
      <c r="E9" s="9">
        <v>304942115</v>
      </c>
      <c r="F9">
        <v>20</v>
      </c>
      <c r="G9" s="32">
        <v>0.1</v>
      </c>
      <c r="H9" s="4">
        <f t="shared" si="0"/>
        <v>30494211.5</v>
      </c>
      <c r="I9" s="4">
        <f t="shared" si="1"/>
        <v>13722395.175000001</v>
      </c>
      <c r="J9" s="35">
        <f t="shared" ca="1" si="2"/>
        <v>7.4356164383561643</v>
      </c>
      <c r="K9" s="4">
        <f t="shared" ca="1" si="3"/>
        <v>102034467.13684931</v>
      </c>
      <c r="L9" s="8">
        <f t="shared" ca="1" si="4"/>
        <v>202907647.86315069</v>
      </c>
    </row>
    <row r="10" spans="1:12" x14ac:dyDescent="0.25">
      <c r="A10">
        <v>9</v>
      </c>
      <c r="B10">
        <v>125</v>
      </c>
      <c r="C10" t="s">
        <v>2304</v>
      </c>
      <c r="D10" s="34">
        <v>43313</v>
      </c>
      <c r="E10" s="9">
        <v>14671942.5</v>
      </c>
      <c r="F10">
        <v>8</v>
      </c>
      <c r="G10" s="33">
        <v>0</v>
      </c>
      <c r="H10" s="4">
        <f t="shared" si="0"/>
        <v>0</v>
      </c>
      <c r="I10" s="4">
        <f t="shared" si="1"/>
        <v>1833992.8125</v>
      </c>
      <c r="J10" s="35">
        <f t="shared" ca="1" si="2"/>
        <v>7.4356164383561643</v>
      </c>
      <c r="K10" s="4">
        <f t="shared" ca="1" si="3"/>
        <v>13636867.104452055</v>
      </c>
      <c r="L10" s="8">
        <f t="shared" ca="1" si="4"/>
        <v>1035075.3955479451</v>
      </c>
    </row>
    <row r="11" spans="1:12" x14ac:dyDescent="0.25">
      <c r="A11">
        <v>10</v>
      </c>
      <c r="B11">
        <v>126</v>
      </c>
      <c r="C11" t="s">
        <v>2305</v>
      </c>
      <c r="D11" s="34">
        <v>43313</v>
      </c>
      <c r="E11" s="9">
        <v>12815500</v>
      </c>
      <c r="F11">
        <v>10</v>
      </c>
      <c r="G11" s="32">
        <v>0.1</v>
      </c>
      <c r="H11" s="4">
        <f t="shared" si="0"/>
        <v>1281550</v>
      </c>
      <c r="I11" s="4">
        <f t="shared" si="1"/>
        <v>1153395</v>
      </c>
      <c r="J11" s="35">
        <f t="shared" ca="1" si="2"/>
        <v>7.4356164383561643</v>
      </c>
      <c r="K11" s="4">
        <f t="shared" ca="1" si="3"/>
        <v>8576202.8219178077</v>
      </c>
      <c r="L11" s="8">
        <f t="shared" ca="1" si="4"/>
        <v>4239297.1780821923</v>
      </c>
    </row>
    <row r="12" spans="1:12" x14ac:dyDescent="0.25">
      <c r="A12">
        <v>11</v>
      </c>
      <c r="B12">
        <v>127</v>
      </c>
      <c r="C12" t="s">
        <v>2306</v>
      </c>
      <c r="D12" s="34">
        <v>43313</v>
      </c>
      <c r="E12" s="9">
        <v>5860835</v>
      </c>
      <c r="F12">
        <v>8</v>
      </c>
      <c r="G12" s="33">
        <v>0</v>
      </c>
      <c r="H12" s="4">
        <f t="shared" si="0"/>
        <v>0</v>
      </c>
      <c r="I12" s="4">
        <f t="shared" si="1"/>
        <v>732604.375</v>
      </c>
      <c r="J12" s="35">
        <f t="shared" ca="1" si="2"/>
        <v>7.4356164383561643</v>
      </c>
      <c r="K12" s="4">
        <f t="shared" ca="1" si="3"/>
        <v>5447365.1335616438</v>
      </c>
      <c r="L12" s="8">
        <f t="shared" ca="1" si="4"/>
        <v>413469.86643835623</v>
      </c>
    </row>
    <row r="13" spans="1:12" x14ac:dyDescent="0.25">
      <c r="A13">
        <v>12</v>
      </c>
      <c r="B13">
        <v>128</v>
      </c>
      <c r="C13" t="s">
        <v>2306</v>
      </c>
      <c r="D13" s="34">
        <v>43313</v>
      </c>
      <c r="E13" s="9">
        <v>5860835</v>
      </c>
      <c r="F13">
        <v>8</v>
      </c>
      <c r="G13" s="33">
        <v>0</v>
      </c>
      <c r="H13" s="4">
        <f t="shared" si="0"/>
        <v>0</v>
      </c>
      <c r="I13" s="4">
        <f t="shared" si="1"/>
        <v>732604.375</v>
      </c>
      <c r="J13" s="35">
        <f t="shared" ca="1" si="2"/>
        <v>7.4356164383561643</v>
      </c>
      <c r="K13" s="4">
        <f t="shared" ca="1" si="3"/>
        <v>5447365.1335616438</v>
      </c>
      <c r="L13" s="8">
        <f t="shared" ca="1" si="4"/>
        <v>413469.86643835623</v>
      </c>
    </row>
    <row r="14" spans="1:12" x14ac:dyDescent="0.25">
      <c r="A14">
        <v>13</v>
      </c>
      <c r="B14">
        <v>129</v>
      </c>
      <c r="C14" t="s">
        <v>2307</v>
      </c>
      <c r="D14" s="34">
        <v>43313</v>
      </c>
      <c r="E14" s="9">
        <v>7624320</v>
      </c>
      <c r="F14">
        <v>10</v>
      </c>
      <c r="G14" s="32">
        <v>0.1</v>
      </c>
      <c r="H14" s="4">
        <f t="shared" si="0"/>
        <v>762432</v>
      </c>
      <c r="I14" s="4">
        <f t="shared" si="1"/>
        <v>686188.8</v>
      </c>
      <c r="J14" s="35">
        <f t="shared" ca="1" si="2"/>
        <v>7.4356164383561643</v>
      </c>
      <c r="K14" s="4">
        <f t="shared" ca="1" si="3"/>
        <v>5102236.7210958907</v>
      </c>
      <c r="L14" s="8">
        <f t="shared" ca="1" si="4"/>
        <v>2522083.2789041093</v>
      </c>
    </row>
    <row r="15" spans="1:12" x14ac:dyDescent="0.25">
      <c r="A15">
        <v>14</v>
      </c>
      <c r="B15">
        <v>130</v>
      </c>
      <c r="C15" t="s">
        <v>2308</v>
      </c>
      <c r="D15" s="34">
        <v>43313</v>
      </c>
      <c r="E15" s="9">
        <v>2166000</v>
      </c>
      <c r="F15">
        <v>8</v>
      </c>
      <c r="G15" s="33">
        <v>0.1</v>
      </c>
      <c r="H15" s="4">
        <f t="shared" si="0"/>
        <v>216600</v>
      </c>
      <c r="I15" s="4">
        <f t="shared" si="1"/>
        <v>243675</v>
      </c>
      <c r="J15" s="35">
        <f t="shared" ca="1" si="2"/>
        <v>7.4356164383561643</v>
      </c>
      <c r="K15" s="4">
        <f t="shared" ca="1" si="3"/>
        <v>1811873.8356164384</v>
      </c>
      <c r="L15" s="8">
        <f t="shared" ca="1" si="4"/>
        <v>354126.16438356158</v>
      </c>
    </row>
    <row r="16" spans="1:12" x14ac:dyDescent="0.25">
      <c r="A16">
        <v>15</v>
      </c>
      <c r="B16">
        <v>131</v>
      </c>
      <c r="C16" t="s">
        <v>2309</v>
      </c>
      <c r="D16" s="34">
        <v>43313</v>
      </c>
      <c r="E16" s="9">
        <v>19855000</v>
      </c>
      <c r="F16">
        <v>20</v>
      </c>
      <c r="G16" s="32">
        <v>0.1</v>
      </c>
      <c r="H16" s="4">
        <f t="shared" si="0"/>
        <v>1985500</v>
      </c>
      <c r="I16" s="4">
        <f t="shared" si="1"/>
        <v>893475</v>
      </c>
      <c r="J16" s="35">
        <f t="shared" ca="1" si="2"/>
        <v>7.4356164383561643</v>
      </c>
      <c r="K16" s="4">
        <f t="shared" ca="1" si="3"/>
        <v>6643537.3972602738</v>
      </c>
      <c r="L16" s="8">
        <f t="shared" ca="1" si="4"/>
        <v>13211462.602739725</v>
      </c>
    </row>
    <row r="17" spans="1:12" x14ac:dyDescent="0.25">
      <c r="A17">
        <v>16</v>
      </c>
      <c r="B17">
        <v>132</v>
      </c>
      <c r="C17" t="s">
        <v>2309</v>
      </c>
      <c r="D17" s="34">
        <v>43313</v>
      </c>
      <c r="E17" s="9">
        <v>19855000</v>
      </c>
      <c r="F17">
        <v>20</v>
      </c>
      <c r="G17" s="32">
        <v>0.1</v>
      </c>
      <c r="H17" s="4">
        <f t="shared" si="0"/>
        <v>1985500</v>
      </c>
      <c r="I17" s="4">
        <f t="shared" si="1"/>
        <v>893475</v>
      </c>
      <c r="J17" s="35">
        <f t="shared" ca="1" si="2"/>
        <v>7.4356164383561643</v>
      </c>
      <c r="K17" s="4">
        <f t="shared" ca="1" si="3"/>
        <v>6643537.3972602738</v>
      </c>
      <c r="L17" s="8">
        <f t="shared" ca="1" si="4"/>
        <v>13211462.602739725</v>
      </c>
    </row>
    <row r="18" spans="1:12" x14ac:dyDescent="0.25">
      <c r="A18">
        <v>17</v>
      </c>
      <c r="B18">
        <v>133</v>
      </c>
      <c r="C18" t="s">
        <v>2310</v>
      </c>
      <c r="D18" s="34">
        <v>43313</v>
      </c>
      <c r="E18" s="9">
        <v>2707500</v>
      </c>
      <c r="F18">
        <v>10</v>
      </c>
      <c r="G18" s="32">
        <v>0.1</v>
      </c>
      <c r="H18" s="4">
        <f t="shared" si="0"/>
        <v>270750</v>
      </c>
      <c r="I18" s="4">
        <f t="shared" si="1"/>
        <v>243675</v>
      </c>
      <c r="J18" s="35">
        <f t="shared" ca="1" si="2"/>
        <v>7.4356164383561643</v>
      </c>
      <c r="K18" s="4">
        <f t="shared" ca="1" si="3"/>
        <v>1811873.8356164384</v>
      </c>
      <c r="L18" s="8">
        <f t="shared" ca="1" si="4"/>
        <v>895626.16438356158</v>
      </c>
    </row>
    <row r="19" spans="1:12" x14ac:dyDescent="0.25">
      <c r="A19">
        <v>18</v>
      </c>
      <c r="B19">
        <v>134</v>
      </c>
      <c r="C19" t="s">
        <v>2310</v>
      </c>
      <c r="D19" s="34">
        <v>43313</v>
      </c>
      <c r="E19" s="9">
        <v>2707500</v>
      </c>
      <c r="F19">
        <v>10</v>
      </c>
      <c r="G19" s="32">
        <v>0.1</v>
      </c>
      <c r="H19" s="4">
        <f t="shared" si="0"/>
        <v>270750</v>
      </c>
      <c r="I19" s="4">
        <f t="shared" si="1"/>
        <v>243675</v>
      </c>
      <c r="J19" s="35">
        <f t="shared" ca="1" si="2"/>
        <v>7.4356164383561643</v>
      </c>
      <c r="K19" s="4">
        <f t="shared" ca="1" si="3"/>
        <v>1811873.8356164384</v>
      </c>
      <c r="L19" s="8">
        <f t="shared" ca="1" si="4"/>
        <v>895626.16438356158</v>
      </c>
    </row>
    <row r="20" spans="1:12" x14ac:dyDescent="0.25">
      <c r="A20">
        <v>19</v>
      </c>
      <c r="B20">
        <v>135</v>
      </c>
      <c r="C20" t="s">
        <v>2311</v>
      </c>
      <c r="D20" s="34">
        <v>43313</v>
      </c>
      <c r="E20" s="9">
        <v>7877922.5</v>
      </c>
      <c r="F20">
        <v>8</v>
      </c>
      <c r="G20" s="33">
        <v>0</v>
      </c>
      <c r="H20" s="4">
        <f t="shared" si="0"/>
        <v>0</v>
      </c>
      <c r="I20" s="4">
        <f t="shared" si="1"/>
        <v>984740.3125</v>
      </c>
      <c r="J20" s="35">
        <f t="shared" ca="1" si="2"/>
        <v>7.4356164383561643</v>
      </c>
      <c r="K20" s="4">
        <f t="shared" ca="1" si="3"/>
        <v>7322151.2551369863</v>
      </c>
      <c r="L20" s="8">
        <f t="shared" ca="1" si="4"/>
        <v>555771.24486301374</v>
      </c>
    </row>
    <row r="21" spans="1:12" x14ac:dyDescent="0.25">
      <c r="A21">
        <v>20</v>
      </c>
      <c r="B21">
        <v>136</v>
      </c>
      <c r="C21" t="s">
        <v>2306</v>
      </c>
      <c r="D21" s="34">
        <v>43313</v>
      </c>
      <c r="E21" s="9">
        <v>5860835</v>
      </c>
      <c r="F21">
        <v>8</v>
      </c>
      <c r="G21" s="33">
        <v>0</v>
      </c>
      <c r="H21" s="4">
        <f t="shared" si="0"/>
        <v>0</v>
      </c>
      <c r="I21" s="4">
        <f t="shared" si="1"/>
        <v>732604.375</v>
      </c>
      <c r="J21" s="35">
        <f t="shared" ca="1" si="2"/>
        <v>7.4356164383561643</v>
      </c>
      <c r="K21" s="4">
        <f t="shared" ca="1" si="3"/>
        <v>5447365.1335616438</v>
      </c>
      <c r="L21" s="8">
        <f t="shared" ca="1" si="4"/>
        <v>413469.86643835623</v>
      </c>
    </row>
    <row r="22" spans="1:12" x14ac:dyDescent="0.25">
      <c r="A22">
        <v>21</v>
      </c>
      <c r="B22">
        <v>137</v>
      </c>
      <c r="C22" t="s">
        <v>2312</v>
      </c>
      <c r="D22" s="34">
        <v>43313</v>
      </c>
      <c r="E22" s="9">
        <v>18763877.5</v>
      </c>
      <c r="F22">
        <v>10</v>
      </c>
      <c r="G22" s="32">
        <v>0.1</v>
      </c>
      <c r="H22" s="4">
        <f t="shared" si="0"/>
        <v>1876387.75</v>
      </c>
      <c r="I22" s="4">
        <f t="shared" si="1"/>
        <v>1688748.9750000001</v>
      </c>
      <c r="J22" s="35">
        <f t="shared" ca="1" si="2"/>
        <v>7.4356164383561643</v>
      </c>
      <c r="K22" s="4">
        <f t="shared" ca="1" si="3"/>
        <v>12556889.638767123</v>
      </c>
      <c r="L22" s="8">
        <f t="shared" ca="1" si="4"/>
        <v>6206987.8612328768</v>
      </c>
    </row>
    <row r="23" spans="1:12" x14ac:dyDescent="0.25">
      <c r="A23">
        <v>22</v>
      </c>
      <c r="B23">
        <v>138</v>
      </c>
      <c r="C23" t="s">
        <v>2313</v>
      </c>
      <c r="D23" s="34">
        <v>43313</v>
      </c>
      <c r="E23" s="9">
        <v>6652327.5</v>
      </c>
      <c r="F23">
        <v>8</v>
      </c>
      <c r="G23" s="33">
        <v>0</v>
      </c>
      <c r="H23" s="4">
        <f t="shared" si="0"/>
        <v>0</v>
      </c>
      <c r="I23" s="4">
        <f t="shared" si="1"/>
        <v>831540.9375</v>
      </c>
      <c r="J23" s="35">
        <f t="shared" ca="1" si="2"/>
        <v>7.4356164383561643</v>
      </c>
      <c r="K23" s="4">
        <f t="shared" ca="1" si="3"/>
        <v>6183019.4640410962</v>
      </c>
      <c r="L23" s="8">
        <f t="shared" ca="1" si="4"/>
        <v>469308.03595890384</v>
      </c>
    </row>
    <row r="24" spans="1:12" x14ac:dyDescent="0.25">
      <c r="A24">
        <v>23</v>
      </c>
      <c r="B24">
        <v>139</v>
      </c>
      <c r="C24" t="s">
        <v>2313</v>
      </c>
      <c r="D24" s="34">
        <v>43313</v>
      </c>
      <c r="E24" s="9">
        <v>6652327.5</v>
      </c>
      <c r="F24">
        <v>8</v>
      </c>
      <c r="G24" s="33">
        <v>0</v>
      </c>
      <c r="H24" s="4">
        <f t="shared" si="0"/>
        <v>0</v>
      </c>
      <c r="I24" s="4">
        <f t="shared" si="1"/>
        <v>831540.9375</v>
      </c>
      <c r="J24" s="35">
        <f t="shared" ca="1" si="2"/>
        <v>7.4356164383561643</v>
      </c>
      <c r="K24" s="4">
        <f t="shared" ca="1" si="3"/>
        <v>6183019.4640410962</v>
      </c>
      <c r="L24" s="8">
        <f t="shared" ca="1" si="4"/>
        <v>469308.03595890384</v>
      </c>
    </row>
    <row r="25" spans="1:12" x14ac:dyDescent="0.25">
      <c r="A25">
        <v>24</v>
      </c>
      <c r="B25">
        <v>140</v>
      </c>
      <c r="C25" t="s">
        <v>2314</v>
      </c>
      <c r="D25" s="34">
        <v>43313</v>
      </c>
      <c r="E25" s="9">
        <v>30363710</v>
      </c>
      <c r="F25">
        <v>20</v>
      </c>
      <c r="G25" s="32">
        <v>0.1</v>
      </c>
      <c r="H25" s="4">
        <f t="shared" si="0"/>
        <v>3036371</v>
      </c>
      <c r="I25" s="4">
        <f t="shared" si="1"/>
        <v>1366366.95</v>
      </c>
      <c r="J25" s="35">
        <f t="shared" ca="1" si="2"/>
        <v>7.4356164383561643</v>
      </c>
      <c r="K25" s="4">
        <f t="shared" ca="1" si="3"/>
        <v>10159780.554246575</v>
      </c>
      <c r="L25" s="8">
        <f t="shared" ca="1" si="4"/>
        <v>20203929.445753425</v>
      </c>
    </row>
    <row r="26" spans="1:12" x14ac:dyDescent="0.25">
      <c r="A26">
        <v>25</v>
      </c>
      <c r="B26">
        <v>141</v>
      </c>
      <c r="C26" t="s">
        <v>2314</v>
      </c>
      <c r="D26" s="34">
        <v>43313</v>
      </c>
      <c r="E26" s="9">
        <v>30363710</v>
      </c>
      <c r="F26">
        <v>20</v>
      </c>
      <c r="G26" s="32">
        <v>0.1</v>
      </c>
      <c r="H26" s="4">
        <f t="shared" si="0"/>
        <v>3036371</v>
      </c>
      <c r="I26" s="4">
        <f t="shared" si="1"/>
        <v>1366366.95</v>
      </c>
      <c r="J26" s="35">
        <f t="shared" ca="1" si="2"/>
        <v>7.4356164383561643</v>
      </c>
      <c r="K26" s="4">
        <f t="shared" ca="1" si="3"/>
        <v>10159780.554246575</v>
      </c>
      <c r="L26" s="8">
        <f t="shared" ca="1" si="4"/>
        <v>20203929.445753425</v>
      </c>
    </row>
    <row r="27" spans="1:12" x14ac:dyDescent="0.25">
      <c r="A27">
        <v>26</v>
      </c>
      <c r="B27">
        <v>142</v>
      </c>
      <c r="C27" t="s">
        <v>2315</v>
      </c>
      <c r="D27" s="34">
        <v>43313</v>
      </c>
      <c r="E27" s="9">
        <v>19855000</v>
      </c>
      <c r="F27">
        <v>20</v>
      </c>
      <c r="G27" s="32">
        <v>0.1</v>
      </c>
      <c r="H27" s="4">
        <f t="shared" si="0"/>
        <v>1985500</v>
      </c>
      <c r="I27" s="4">
        <f t="shared" si="1"/>
        <v>893475</v>
      </c>
      <c r="J27" s="35">
        <f t="shared" ca="1" si="2"/>
        <v>7.4356164383561643</v>
      </c>
      <c r="K27" s="4">
        <f t="shared" ca="1" si="3"/>
        <v>6643537.3972602738</v>
      </c>
      <c r="L27" s="8">
        <f t="shared" ca="1" si="4"/>
        <v>13211462.602739725</v>
      </c>
    </row>
    <row r="28" spans="1:12" x14ac:dyDescent="0.25">
      <c r="A28">
        <v>27</v>
      </c>
      <c r="B28">
        <v>143</v>
      </c>
      <c r="C28" t="s">
        <v>2315</v>
      </c>
      <c r="D28" s="34">
        <v>43313</v>
      </c>
      <c r="E28" s="9">
        <v>19855000</v>
      </c>
      <c r="F28">
        <v>20</v>
      </c>
      <c r="G28" s="32">
        <v>0.1</v>
      </c>
      <c r="H28" s="4">
        <f t="shared" si="0"/>
        <v>1985500</v>
      </c>
      <c r="I28" s="4">
        <f t="shared" si="1"/>
        <v>893475</v>
      </c>
      <c r="J28" s="35">
        <f t="shared" ca="1" si="2"/>
        <v>7.4356164383561643</v>
      </c>
      <c r="K28" s="4">
        <f t="shared" ca="1" si="3"/>
        <v>6643537.3972602738</v>
      </c>
      <c r="L28" s="8">
        <f t="shared" ca="1" si="4"/>
        <v>13211462.602739725</v>
      </c>
    </row>
    <row r="29" spans="1:12" x14ac:dyDescent="0.25">
      <c r="A29">
        <v>28</v>
      </c>
      <c r="B29">
        <v>144</v>
      </c>
      <c r="C29" t="s">
        <v>2316</v>
      </c>
      <c r="D29" s="34">
        <v>43313</v>
      </c>
      <c r="E29" s="9">
        <v>6652327.5</v>
      </c>
      <c r="F29">
        <v>8</v>
      </c>
      <c r="G29" s="33">
        <v>0</v>
      </c>
      <c r="H29" s="4">
        <f t="shared" si="0"/>
        <v>0</v>
      </c>
      <c r="I29" s="4">
        <f t="shared" si="1"/>
        <v>831540.9375</v>
      </c>
      <c r="J29" s="35">
        <f t="shared" ca="1" si="2"/>
        <v>7.4356164383561643</v>
      </c>
      <c r="K29" s="4">
        <f t="shared" ca="1" si="3"/>
        <v>6183019.4640410962</v>
      </c>
      <c r="L29" s="8">
        <f t="shared" ca="1" si="4"/>
        <v>469308.03595890384</v>
      </c>
    </row>
    <row r="30" spans="1:12" x14ac:dyDescent="0.25">
      <c r="A30">
        <v>29</v>
      </c>
      <c r="B30">
        <v>145</v>
      </c>
      <c r="C30" t="s">
        <v>2316</v>
      </c>
      <c r="D30" s="34">
        <v>43313</v>
      </c>
      <c r="E30" s="9">
        <v>6652327.5</v>
      </c>
      <c r="F30">
        <v>8</v>
      </c>
      <c r="G30" s="33">
        <v>0</v>
      </c>
      <c r="H30" s="4">
        <f t="shared" si="0"/>
        <v>0</v>
      </c>
      <c r="I30" s="4">
        <f t="shared" si="1"/>
        <v>831540.9375</v>
      </c>
      <c r="J30" s="35">
        <f t="shared" ca="1" si="2"/>
        <v>7.4356164383561643</v>
      </c>
      <c r="K30" s="4">
        <f t="shared" ca="1" si="3"/>
        <v>6183019.4640410962</v>
      </c>
      <c r="L30" s="8">
        <f t="shared" ca="1" si="4"/>
        <v>469308.03595890384</v>
      </c>
    </row>
    <row r="31" spans="1:12" x14ac:dyDescent="0.25">
      <c r="A31">
        <v>30</v>
      </c>
      <c r="B31">
        <v>146</v>
      </c>
      <c r="C31" t="s">
        <v>2317</v>
      </c>
      <c r="D31" s="34">
        <v>43313</v>
      </c>
      <c r="E31" s="9">
        <v>8726272.5</v>
      </c>
      <c r="F31">
        <v>10</v>
      </c>
      <c r="G31" s="32">
        <v>0.1</v>
      </c>
      <c r="H31" s="4">
        <f t="shared" si="0"/>
        <v>872627.25</v>
      </c>
      <c r="I31" s="4">
        <f t="shared" si="1"/>
        <v>785364.52500000002</v>
      </c>
      <c r="J31" s="35">
        <f t="shared" ca="1" si="2"/>
        <v>7.4356164383561643</v>
      </c>
      <c r="K31" s="4">
        <f t="shared" ca="1" si="3"/>
        <v>5839669.3721917812</v>
      </c>
      <c r="L31" s="8">
        <f t="shared" ca="1" si="4"/>
        <v>2886603.1278082188</v>
      </c>
    </row>
    <row r="32" spans="1:12" x14ac:dyDescent="0.25">
      <c r="A32">
        <v>31</v>
      </c>
      <c r="B32">
        <v>147</v>
      </c>
      <c r="C32" t="s">
        <v>2317</v>
      </c>
      <c r="D32" s="34">
        <v>43313</v>
      </c>
      <c r="E32" s="9">
        <v>8726272.5</v>
      </c>
      <c r="F32">
        <v>10</v>
      </c>
      <c r="G32" s="32">
        <v>0.1</v>
      </c>
      <c r="H32" s="4">
        <f t="shared" si="0"/>
        <v>872627.25</v>
      </c>
      <c r="I32" s="4">
        <f t="shared" si="1"/>
        <v>785364.52500000002</v>
      </c>
      <c r="J32" s="35">
        <f t="shared" ca="1" si="2"/>
        <v>7.4356164383561643</v>
      </c>
      <c r="K32" s="4">
        <f t="shared" ca="1" si="3"/>
        <v>5839669.3721917812</v>
      </c>
      <c r="L32" s="8">
        <f t="shared" ca="1" si="4"/>
        <v>2886603.1278082188</v>
      </c>
    </row>
    <row r="33" spans="1:12" x14ac:dyDescent="0.25">
      <c r="A33">
        <v>32</v>
      </c>
      <c r="B33">
        <v>148</v>
      </c>
      <c r="C33" t="s">
        <v>2318</v>
      </c>
      <c r="D33" s="34">
        <v>43313</v>
      </c>
      <c r="E33" s="9">
        <v>11281250</v>
      </c>
      <c r="F33">
        <v>10</v>
      </c>
      <c r="G33" s="32">
        <v>0.1</v>
      </c>
      <c r="H33" s="4">
        <f t="shared" si="0"/>
        <v>1128125</v>
      </c>
      <c r="I33" s="4">
        <f t="shared" si="1"/>
        <v>1015312.5</v>
      </c>
      <c r="J33" s="35">
        <f t="shared" ca="1" si="2"/>
        <v>7.4356164383561643</v>
      </c>
      <c r="K33" s="4">
        <f t="shared" ca="1" si="3"/>
        <v>7549474.3150684927</v>
      </c>
      <c r="L33" s="8">
        <f t="shared" ca="1" si="4"/>
        <v>3731775.6849315073</v>
      </c>
    </row>
    <row r="34" spans="1:12" x14ac:dyDescent="0.25">
      <c r="A34">
        <v>33</v>
      </c>
      <c r="B34">
        <v>149</v>
      </c>
      <c r="C34" t="s">
        <v>2318</v>
      </c>
      <c r="D34" s="34">
        <v>43313</v>
      </c>
      <c r="E34" s="9">
        <v>11281250</v>
      </c>
      <c r="F34">
        <v>10</v>
      </c>
      <c r="G34" s="32">
        <v>0.1</v>
      </c>
      <c r="H34" s="4">
        <f t="shared" si="0"/>
        <v>1128125</v>
      </c>
      <c r="I34" s="4">
        <f t="shared" si="1"/>
        <v>1015312.5</v>
      </c>
      <c r="J34" s="35">
        <f t="shared" ca="1" si="2"/>
        <v>7.4356164383561643</v>
      </c>
      <c r="K34" s="4">
        <f t="shared" ca="1" si="3"/>
        <v>7549474.3150684927</v>
      </c>
      <c r="L34" s="8">
        <f t="shared" ca="1" si="4"/>
        <v>3731775.6849315073</v>
      </c>
    </row>
    <row r="35" spans="1:12" x14ac:dyDescent="0.25">
      <c r="A35">
        <v>34</v>
      </c>
      <c r="B35">
        <v>150</v>
      </c>
      <c r="C35" t="s">
        <v>2318</v>
      </c>
      <c r="D35" s="34">
        <v>43313</v>
      </c>
      <c r="E35" s="9">
        <v>11281250</v>
      </c>
      <c r="F35">
        <v>10</v>
      </c>
      <c r="G35" s="32">
        <v>0.1</v>
      </c>
      <c r="H35" s="4">
        <f t="shared" si="0"/>
        <v>1128125</v>
      </c>
      <c r="I35" s="4">
        <f t="shared" si="1"/>
        <v>1015312.5</v>
      </c>
      <c r="J35" s="35">
        <f t="shared" ca="1" si="2"/>
        <v>7.4356164383561643</v>
      </c>
      <c r="K35" s="4">
        <f t="shared" ca="1" si="3"/>
        <v>7549474.3150684927</v>
      </c>
      <c r="L35" s="8">
        <f t="shared" ca="1" si="4"/>
        <v>3731775.6849315073</v>
      </c>
    </row>
    <row r="36" spans="1:12" x14ac:dyDescent="0.25">
      <c r="A36">
        <v>35</v>
      </c>
      <c r="B36">
        <v>151</v>
      </c>
      <c r="C36" t="s">
        <v>2318</v>
      </c>
      <c r="D36" s="34">
        <v>43313</v>
      </c>
      <c r="E36" s="9">
        <v>11281250</v>
      </c>
      <c r="F36">
        <v>10</v>
      </c>
      <c r="G36" s="32">
        <v>0.1</v>
      </c>
      <c r="H36" s="4">
        <f t="shared" si="0"/>
        <v>1128125</v>
      </c>
      <c r="I36" s="4">
        <f t="shared" si="1"/>
        <v>1015312.5</v>
      </c>
      <c r="J36" s="35">
        <f t="shared" ca="1" si="2"/>
        <v>7.4356164383561643</v>
      </c>
      <c r="K36" s="4">
        <f t="shared" ca="1" si="3"/>
        <v>7549474.3150684927</v>
      </c>
      <c r="L36" s="8">
        <f t="shared" ca="1" si="4"/>
        <v>3731775.6849315073</v>
      </c>
    </row>
    <row r="37" spans="1:12" x14ac:dyDescent="0.25">
      <c r="A37">
        <v>36</v>
      </c>
      <c r="B37">
        <v>152</v>
      </c>
      <c r="C37" t="s">
        <v>2318</v>
      </c>
      <c r="D37" s="34">
        <v>43313</v>
      </c>
      <c r="E37" s="9">
        <v>11281250</v>
      </c>
      <c r="F37">
        <v>10</v>
      </c>
      <c r="G37" s="32">
        <v>0.1</v>
      </c>
      <c r="H37" s="4">
        <f t="shared" si="0"/>
        <v>1128125</v>
      </c>
      <c r="I37" s="4">
        <f t="shared" si="1"/>
        <v>1015312.5</v>
      </c>
      <c r="J37" s="35">
        <f t="shared" ca="1" si="2"/>
        <v>7.4356164383561643</v>
      </c>
      <c r="K37" s="4">
        <f t="shared" ca="1" si="3"/>
        <v>7549474.3150684927</v>
      </c>
      <c r="L37" s="8">
        <f t="shared" ca="1" si="4"/>
        <v>3731775.6849315073</v>
      </c>
    </row>
    <row r="38" spans="1:12" x14ac:dyDescent="0.25">
      <c r="A38">
        <v>37</v>
      </c>
      <c r="B38">
        <v>153</v>
      </c>
      <c r="C38" t="s">
        <v>2318</v>
      </c>
      <c r="D38" s="34">
        <v>43313</v>
      </c>
      <c r="E38" s="9">
        <v>11281250</v>
      </c>
      <c r="F38">
        <v>10</v>
      </c>
      <c r="G38" s="32">
        <v>0.1</v>
      </c>
      <c r="H38" s="4">
        <f t="shared" si="0"/>
        <v>1128125</v>
      </c>
      <c r="I38" s="4">
        <f t="shared" si="1"/>
        <v>1015312.5</v>
      </c>
      <c r="J38" s="35">
        <f t="shared" ca="1" si="2"/>
        <v>7.4356164383561643</v>
      </c>
      <c r="K38" s="4">
        <f t="shared" ca="1" si="3"/>
        <v>7549474.3150684927</v>
      </c>
      <c r="L38" s="8">
        <f t="shared" ca="1" si="4"/>
        <v>3731775.6849315073</v>
      </c>
    </row>
    <row r="39" spans="1:12" x14ac:dyDescent="0.25">
      <c r="A39">
        <v>38</v>
      </c>
      <c r="B39">
        <v>154</v>
      </c>
      <c r="C39" t="s">
        <v>2319</v>
      </c>
      <c r="D39" s="34">
        <v>43313</v>
      </c>
      <c r="E39" s="9">
        <v>1173250</v>
      </c>
      <c r="F39">
        <v>10</v>
      </c>
      <c r="G39" s="32">
        <v>0.1</v>
      </c>
      <c r="H39" s="4">
        <f t="shared" si="0"/>
        <v>117325</v>
      </c>
      <c r="I39" s="4">
        <f t="shared" si="1"/>
        <v>105592.5</v>
      </c>
      <c r="J39" s="35">
        <f t="shared" ca="1" si="2"/>
        <v>7.4356164383561643</v>
      </c>
      <c r="K39" s="4">
        <f t="shared" ca="1" si="3"/>
        <v>785145.32876712328</v>
      </c>
      <c r="L39" s="8">
        <f t="shared" ca="1" si="4"/>
        <v>388104.67123287672</v>
      </c>
    </row>
    <row r="40" spans="1:12" x14ac:dyDescent="0.25">
      <c r="A40">
        <v>39</v>
      </c>
      <c r="B40">
        <v>155</v>
      </c>
      <c r="C40" t="s">
        <v>2320</v>
      </c>
      <c r="D40" s="34">
        <v>43313</v>
      </c>
      <c r="E40" s="9">
        <v>1173250</v>
      </c>
      <c r="F40">
        <v>10</v>
      </c>
      <c r="G40" s="32">
        <v>0.1</v>
      </c>
      <c r="H40" s="4">
        <f t="shared" si="0"/>
        <v>117325</v>
      </c>
      <c r="I40" s="4">
        <f t="shared" si="1"/>
        <v>105592.5</v>
      </c>
      <c r="J40" s="35">
        <f t="shared" ca="1" si="2"/>
        <v>7.4356164383561643</v>
      </c>
      <c r="K40" s="4">
        <f t="shared" ca="1" si="3"/>
        <v>785145.32876712328</v>
      </c>
      <c r="L40" s="8">
        <f t="shared" ca="1" si="4"/>
        <v>388104.67123287672</v>
      </c>
    </row>
    <row r="41" spans="1:12" x14ac:dyDescent="0.25">
      <c r="A41">
        <v>40</v>
      </c>
      <c r="B41">
        <v>156</v>
      </c>
      <c r="C41" t="s">
        <v>2320</v>
      </c>
      <c r="D41" s="34">
        <v>43313</v>
      </c>
      <c r="E41" s="9">
        <v>1173250</v>
      </c>
      <c r="F41">
        <v>10</v>
      </c>
      <c r="G41" s="32">
        <v>0.1</v>
      </c>
      <c r="H41" s="4">
        <f t="shared" si="0"/>
        <v>117325</v>
      </c>
      <c r="I41" s="4">
        <f t="shared" si="1"/>
        <v>105592.5</v>
      </c>
      <c r="J41" s="35">
        <f t="shared" ca="1" si="2"/>
        <v>7.4356164383561643</v>
      </c>
      <c r="K41" s="4">
        <f t="shared" ca="1" si="3"/>
        <v>785145.32876712328</v>
      </c>
      <c r="L41" s="8">
        <f t="shared" ca="1" si="4"/>
        <v>388104.67123287672</v>
      </c>
    </row>
    <row r="42" spans="1:12" x14ac:dyDescent="0.25">
      <c r="A42">
        <v>41</v>
      </c>
      <c r="B42">
        <v>157</v>
      </c>
      <c r="C42" t="s">
        <v>2320</v>
      </c>
      <c r="D42" s="34">
        <v>43313</v>
      </c>
      <c r="E42" s="9">
        <v>1173250</v>
      </c>
      <c r="F42">
        <v>10</v>
      </c>
      <c r="G42" s="32">
        <v>0.1</v>
      </c>
      <c r="H42" s="4">
        <f t="shared" si="0"/>
        <v>117325</v>
      </c>
      <c r="I42" s="4">
        <f t="shared" si="1"/>
        <v>105592.5</v>
      </c>
      <c r="J42" s="35">
        <f t="shared" ca="1" si="2"/>
        <v>7.4356164383561643</v>
      </c>
      <c r="K42" s="4">
        <f t="shared" ca="1" si="3"/>
        <v>785145.32876712328</v>
      </c>
      <c r="L42" s="8">
        <f t="shared" ca="1" si="4"/>
        <v>388104.67123287672</v>
      </c>
    </row>
    <row r="43" spans="1:12" x14ac:dyDescent="0.25">
      <c r="A43">
        <v>42</v>
      </c>
      <c r="B43">
        <v>158</v>
      </c>
      <c r="C43" t="s">
        <v>2320</v>
      </c>
      <c r="D43" s="34">
        <v>43313</v>
      </c>
      <c r="E43" s="9">
        <v>1173250</v>
      </c>
      <c r="F43">
        <v>10</v>
      </c>
      <c r="G43" s="32">
        <v>0.1</v>
      </c>
      <c r="H43" s="4">
        <f t="shared" si="0"/>
        <v>117325</v>
      </c>
      <c r="I43" s="4">
        <f t="shared" si="1"/>
        <v>105592.5</v>
      </c>
      <c r="J43" s="35">
        <f t="shared" ca="1" si="2"/>
        <v>7.4356164383561643</v>
      </c>
      <c r="K43" s="4">
        <f t="shared" ca="1" si="3"/>
        <v>785145.32876712328</v>
      </c>
      <c r="L43" s="8">
        <f t="shared" ca="1" si="4"/>
        <v>388104.67123287672</v>
      </c>
    </row>
    <row r="44" spans="1:12" x14ac:dyDescent="0.25">
      <c r="A44">
        <v>43</v>
      </c>
      <c r="B44">
        <v>159</v>
      </c>
      <c r="C44" t="s">
        <v>2320</v>
      </c>
      <c r="D44" s="34">
        <v>43313</v>
      </c>
      <c r="E44" s="9">
        <v>1173250</v>
      </c>
      <c r="F44">
        <v>10</v>
      </c>
      <c r="G44" s="32">
        <v>0.1</v>
      </c>
      <c r="H44" s="4">
        <f t="shared" si="0"/>
        <v>117325</v>
      </c>
      <c r="I44" s="4">
        <f t="shared" si="1"/>
        <v>105592.5</v>
      </c>
      <c r="J44" s="35">
        <f t="shared" ca="1" si="2"/>
        <v>7.4356164383561643</v>
      </c>
      <c r="K44" s="4">
        <f t="shared" ca="1" si="3"/>
        <v>785145.32876712328</v>
      </c>
      <c r="L44" s="8">
        <f t="shared" ca="1" si="4"/>
        <v>388104.67123287672</v>
      </c>
    </row>
    <row r="45" spans="1:12" x14ac:dyDescent="0.25">
      <c r="A45">
        <v>44</v>
      </c>
      <c r="B45">
        <v>160</v>
      </c>
      <c r="C45" t="s">
        <v>2320</v>
      </c>
      <c r="D45" s="34">
        <v>43313</v>
      </c>
      <c r="E45" s="9">
        <v>1173250</v>
      </c>
      <c r="F45">
        <v>10</v>
      </c>
      <c r="G45" s="32">
        <v>0.1</v>
      </c>
      <c r="H45" s="4">
        <f t="shared" si="0"/>
        <v>117325</v>
      </c>
      <c r="I45" s="4">
        <f t="shared" si="1"/>
        <v>105592.5</v>
      </c>
      <c r="J45" s="35">
        <f t="shared" ca="1" si="2"/>
        <v>7.4356164383561643</v>
      </c>
      <c r="K45" s="4">
        <f t="shared" ca="1" si="3"/>
        <v>785145.32876712328</v>
      </c>
      <c r="L45" s="8">
        <f t="shared" ca="1" si="4"/>
        <v>388104.67123287672</v>
      </c>
    </row>
    <row r="46" spans="1:12" x14ac:dyDescent="0.25">
      <c r="A46">
        <v>45</v>
      </c>
      <c r="B46">
        <v>161</v>
      </c>
      <c r="C46" t="s">
        <v>2320</v>
      </c>
      <c r="D46" s="34">
        <v>43313</v>
      </c>
      <c r="E46" s="9">
        <v>1173250</v>
      </c>
      <c r="F46">
        <v>10</v>
      </c>
      <c r="G46" s="32">
        <v>0.1</v>
      </c>
      <c r="H46" s="4">
        <f t="shared" si="0"/>
        <v>117325</v>
      </c>
      <c r="I46" s="4">
        <f t="shared" si="1"/>
        <v>105592.5</v>
      </c>
      <c r="J46" s="35">
        <f t="shared" ca="1" si="2"/>
        <v>7.4356164383561643</v>
      </c>
      <c r="K46" s="4">
        <f t="shared" ca="1" si="3"/>
        <v>785145.32876712328</v>
      </c>
      <c r="L46" s="8">
        <f t="shared" ca="1" si="4"/>
        <v>388104.67123287672</v>
      </c>
    </row>
    <row r="47" spans="1:12" x14ac:dyDescent="0.25">
      <c r="A47">
        <v>46</v>
      </c>
      <c r="B47">
        <v>162</v>
      </c>
      <c r="C47" t="s">
        <v>2320</v>
      </c>
      <c r="D47" s="34">
        <v>43313</v>
      </c>
      <c r="E47" s="9">
        <v>1173250</v>
      </c>
      <c r="F47">
        <v>10</v>
      </c>
      <c r="G47" s="32">
        <v>0.1</v>
      </c>
      <c r="H47" s="4">
        <f t="shared" si="0"/>
        <v>117325</v>
      </c>
      <c r="I47" s="4">
        <f t="shared" si="1"/>
        <v>105592.5</v>
      </c>
      <c r="J47" s="35">
        <f t="shared" ca="1" si="2"/>
        <v>7.4356164383561643</v>
      </c>
      <c r="K47" s="4">
        <f t="shared" ca="1" si="3"/>
        <v>785145.32876712328</v>
      </c>
      <c r="L47" s="8">
        <f t="shared" ca="1" si="4"/>
        <v>388104.67123287672</v>
      </c>
    </row>
    <row r="48" spans="1:12" x14ac:dyDescent="0.25">
      <c r="A48">
        <v>47</v>
      </c>
      <c r="B48">
        <v>163</v>
      </c>
      <c r="C48" t="s">
        <v>2320</v>
      </c>
      <c r="D48" s="34">
        <v>43313</v>
      </c>
      <c r="E48" s="9">
        <v>1173250</v>
      </c>
      <c r="F48">
        <v>10</v>
      </c>
      <c r="G48" s="32">
        <v>0.1</v>
      </c>
      <c r="H48" s="4">
        <f t="shared" si="0"/>
        <v>117325</v>
      </c>
      <c r="I48" s="4">
        <f t="shared" si="1"/>
        <v>105592.5</v>
      </c>
      <c r="J48" s="35">
        <f t="shared" ca="1" si="2"/>
        <v>7.4356164383561643</v>
      </c>
      <c r="K48" s="4">
        <f t="shared" ca="1" si="3"/>
        <v>785145.32876712328</v>
      </c>
      <c r="L48" s="8">
        <f t="shared" ca="1" si="4"/>
        <v>388104.67123287672</v>
      </c>
    </row>
    <row r="49" spans="1:12" x14ac:dyDescent="0.25">
      <c r="A49">
        <v>48</v>
      </c>
      <c r="B49">
        <v>164</v>
      </c>
      <c r="C49" t="s">
        <v>2320</v>
      </c>
      <c r="D49" s="34">
        <v>43313</v>
      </c>
      <c r="E49" s="9">
        <v>1173250</v>
      </c>
      <c r="F49">
        <v>10</v>
      </c>
      <c r="G49" s="32">
        <v>0.1</v>
      </c>
      <c r="H49" s="4">
        <f t="shared" si="0"/>
        <v>117325</v>
      </c>
      <c r="I49" s="4">
        <f t="shared" si="1"/>
        <v>105592.5</v>
      </c>
      <c r="J49" s="35">
        <f t="shared" ca="1" si="2"/>
        <v>7.4356164383561643</v>
      </c>
      <c r="K49" s="4">
        <f t="shared" ca="1" si="3"/>
        <v>785145.32876712328</v>
      </c>
      <c r="L49" s="8">
        <f t="shared" ca="1" si="4"/>
        <v>388104.67123287672</v>
      </c>
    </row>
    <row r="50" spans="1:12" x14ac:dyDescent="0.25">
      <c r="A50">
        <v>49</v>
      </c>
      <c r="B50">
        <v>165</v>
      </c>
      <c r="C50" t="s">
        <v>2320</v>
      </c>
      <c r="D50" s="34">
        <v>43313</v>
      </c>
      <c r="E50" s="9">
        <v>1173250</v>
      </c>
      <c r="F50">
        <v>10</v>
      </c>
      <c r="G50" s="32">
        <v>0.1</v>
      </c>
      <c r="H50" s="4">
        <f t="shared" si="0"/>
        <v>117325</v>
      </c>
      <c r="I50" s="4">
        <f t="shared" si="1"/>
        <v>105592.5</v>
      </c>
      <c r="J50" s="35">
        <f t="shared" ca="1" si="2"/>
        <v>7.4356164383561643</v>
      </c>
      <c r="K50" s="4">
        <f t="shared" ca="1" si="3"/>
        <v>785145.32876712328</v>
      </c>
      <c r="L50" s="8">
        <f t="shared" ca="1" si="4"/>
        <v>388104.67123287672</v>
      </c>
    </row>
    <row r="51" spans="1:12" x14ac:dyDescent="0.25">
      <c r="A51">
        <v>50</v>
      </c>
      <c r="B51">
        <v>166</v>
      </c>
      <c r="C51" t="s">
        <v>2320</v>
      </c>
      <c r="D51" s="34">
        <v>43313</v>
      </c>
      <c r="E51" s="9">
        <v>1173250</v>
      </c>
      <c r="F51">
        <v>10</v>
      </c>
      <c r="G51" s="32">
        <v>0.1</v>
      </c>
      <c r="H51" s="4">
        <f t="shared" si="0"/>
        <v>117325</v>
      </c>
      <c r="I51" s="4">
        <f t="shared" si="1"/>
        <v>105592.5</v>
      </c>
      <c r="J51" s="35">
        <f t="shared" ca="1" si="2"/>
        <v>7.4356164383561643</v>
      </c>
      <c r="K51" s="4">
        <f t="shared" ca="1" si="3"/>
        <v>785145.32876712328</v>
      </c>
      <c r="L51" s="8">
        <f t="shared" ca="1" si="4"/>
        <v>388104.67123287672</v>
      </c>
    </row>
    <row r="52" spans="1:12" x14ac:dyDescent="0.25">
      <c r="A52">
        <v>51</v>
      </c>
      <c r="B52">
        <v>167</v>
      </c>
      <c r="C52" t="s">
        <v>2320</v>
      </c>
      <c r="D52" s="34">
        <v>43313</v>
      </c>
      <c r="E52" s="9">
        <v>1173250</v>
      </c>
      <c r="F52">
        <v>10</v>
      </c>
      <c r="G52" s="32">
        <v>0.1</v>
      </c>
      <c r="H52" s="4">
        <f t="shared" si="0"/>
        <v>117325</v>
      </c>
      <c r="I52" s="4">
        <f t="shared" si="1"/>
        <v>105592.5</v>
      </c>
      <c r="J52" s="35">
        <f t="shared" ca="1" si="2"/>
        <v>7.4356164383561643</v>
      </c>
      <c r="K52" s="4">
        <f t="shared" ca="1" si="3"/>
        <v>785145.32876712328</v>
      </c>
      <c r="L52" s="8">
        <f t="shared" ca="1" si="4"/>
        <v>388104.67123287672</v>
      </c>
    </row>
    <row r="53" spans="1:12" x14ac:dyDescent="0.25">
      <c r="A53">
        <v>52</v>
      </c>
      <c r="B53">
        <v>168</v>
      </c>
      <c r="C53" t="s">
        <v>2321</v>
      </c>
      <c r="D53" s="34">
        <v>43313</v>
      </c>
      <c r="E53" s="9">
        <v>8077375</v>
      </c>
      <c r="F53">
        <v>8</v>
      </c>
      <c r="G53" s="33">
        <v>0</v>
      </c>
      <c r="H53" s="4">
        <f t="shared" si="0"/>
        <v>0</v>
      </c>
      <c r="I53" s="4">
        <f t="shared" si="1"/>
        <v>1009671.875</v>
      </c>
      <c r="J53" s="35">
        <f t="shared" ca="1" si="2"/>
        <v>7.4356164383561643</v>
      </c>
      <c r="K53" s="4">
        <f t="shared" ca="1" si="3"/>
        <v>7507532.7910958901</v>
      </c>
      <c r="L53" s="8">
        <f t="shared" ca="1" si="4"/>
        <v>569842.2089041099</v>
      </c>
    </row>
    <row r="54" spans="1:12" x14ac:dyDescent="0.25">
      <c r="A54">
        <v>53</v>
      </c>
      <c r="B54">
        <v>169</v>
      </c>
      <c r="C54" t="s">
        <v>2321</v>
      </c>
      <c r="D54" s="34">
        <v>43313</v>
      </c>
      <c r="E54" s="9">
        <v>8077375</v>
      </c>
      <c r="F54">
        <v>8</v>
      </c>
      <c r="G54" s="33">
        <v>0</v>
      </c>
      <c r="H54" s="4">
        <f t="shared" si="0"/>
        <v>0</v>
      </c>
      <c r="I54" s="4">
        <f t="shared" si="1"/>
        <v>1009671.875</v>
      </c>
      <c r="J54" s="35">
        <f t="shared" ca="1" si="2"/>
        <v>7.4356164383561643</v>
      </c>
      <c r="K54" s="4">
        <f t="shared" ca="1" si="3"/>
        <v>7507532.7910958901</v>
      </c>
      <c r="L54" s="8">
        <f t="shared" ca="1" si="4"/>
        <v>569842.2089041099</v>
      </c>
    </row>
    <row r="55" spans="1:12" x14ac:dyDescent="0.25">
      <c r="A55">
        <v>54</v>
      </c>
      <c r="B55">
        <v>170</v>
      </c>
      <c r="C55" t="s">
        <v>2321</v>
      </c>
      <c r="D55" s="34">
        <v>43313</v>
      </c>
      <c r="E55" s="9">
        <v>8077375</v>
      </c>
      <c r="F55">
        <v>8</v>
      </c>
      <c r="G55" s="33">
        <v>0</v>
      </c>
      <c r="H55" s="4">
        <f t="shared" si="0"/>
        <v>0</v>
      </c>
      <c r="I55" s="4">
        <f t="shared" si="1"/>
        <v>1009671.875</v>
      </c>
      <c r="J55" s="35">
        <f t="shared" ca="1" si="2"/>
        <v>7.4356164383561643</v>
      </c>
      <c r="K55" s="4">
        <f t="shared" ca="1" si="3"/>
        <v>7507532.7910958901</v>
      </c>
      <c r="L55" s="8">
        <f t="shared" ca="1" si="4"/>
        <v>569842.2089041099</v>
      </c>
    </row>
    <row r="56" spans="1:12" x14ac:dyDescent="0.25">
      <c r="A56">
        <v>55</v>
      </c>
      <c r="B56">
        <v>171</v>
      </c>
      <c r="C56" t="s">
        <v>2321</v>
      </c>
      <c r="D56" s="34">
        <v>43313</v>
      </c>
      <c r="E56" s="9">
        <v>8077375</v>
      </c>
      <c r="F56">
        <v>8</v>
      </c>
      <c r="G56" s="33">
        <v>0</v>
      </c>
      <c r="H56" s="4">
        <f t="shared" si="0"/>
        <v>0</v>
      </c>
      <c r="I56" s="4">
        <f t="shared" si="1"/>
        <v>1009671.875</v>
      </c>
      <c r="J56" s="35">
        <f t="shared" ca="1" si="2"/>
        <v>7.4356164383561643</v>
      </c>
      <c r="K56" s="4">
        <f t="shared" ca="1" si="3"/>
        <v>7507532.7910958901</v>
      </c>
      <c r="L56" s="8">
        <f t="shared" ca="1" si="4"/>
        <v>569842.2089041099</v>
      </c>
    </row>
    <row r="57" spans="1:12" x14ac:dyDescent="0.25">
      <c r="A57">
        <v>56</v>
      </c>
      <c r="B57">
        <v>172</v>
      </c>
      <c r="C57" t="s">
        <v>2321</v>
      </c>
      <c r="D57" s="34">
        <v>43313</v>
      </c>
      <c r="E57" s="9">
        <v>8077375</v>
      </c>
      <c r="F57">
        <v>8</v>
      </c>
      <c r="G57" s="33">
        <v>0</v>
      </c>
      <c r="H57" s="4">
        <f t="shared" si="0"/>
        <v>0</v>
      </c>
      <c r="I57" s="4">
        <f t="shared" si="1"/>
        <v>1009671.875</v>
      </c>
      <c r="J57" s="35">
        <f t="shared" ca="1" si="2"/>
        <v>7.4356164383561643</v>
      </c>
      <c r="K57" s="4">
        <f t="shared" ca="1" si="3"/>
        <v>7507532.7910958901</v>
      </c>
      <c r="L57" s="8">
        <f t="shared" ca="1" si="4"/>
        <v>569842.2089041099</v>
      </c>
    </row>
    <row r="58" spans="1:12" x14ac:dyDescent="0.25">
      <c r="A58">
        <v>57</v>
      </c>
      <c r="B58">
        <v>173</v>
      </c>
      <c r="C58" t="s">
        <v>2321</v>
      </c>
      <c r="D58" s="34">
        <v>43313</v>
      </c>
      <c r="E58" s="9">
        <v>8077375</v>
      </c>
      <c r="F58">
        <v>8</v>
      </c>
      <c r="G58" s="33">
        <v>0</v>
      </c>
      <c r="H58" s="4">
        <f t="shared" si="0"/>
        <v>0</v>
      </c>
      <c r="I58" s="4">
        <f t="shared" si="1"/>
        <v>1009671.875</v>
      </c>
      <c r="J58" s="35">
        <f t="shared" ca="1" si="2"/>
        <v>7.4356164383561643</v>
      </c>
      <c r="K58" s="4">
        <f t="shared" ca="1" si="3"/>
        <v>7507532.7910958901</v>
      </c>
      <c r="L58" s="8">
        <f t="shared" ca="1" si="4"/>
        <v>569842.2089041099</v>
      </c>
    </row>
    <row r="59" spans="1:12" x14ac:dyDescent="0.25">
      <c r="A59">
        <v>58</v>
      </c>
      <c r="B59">
        <v>174</v>
      </c>
      <c r="C59" t="s">
        <v>2321</v>
      </c>
      <c r="D59" s="34">
        <v>43313</v>
      </c>
      <c r="E59" s="9">
        <v>8077375</v>
      </c>
      <c r="F59">
        <v>8</v>
      </c>
      <c r="G59" s="33">
        <v>0</v>
      </c>
      <c r="H59" s="4">
        <f t="shared" si="0"/>
        <v>0</v>
      </c>
      <c r="I59" s="4">
        <f t="shared" si="1"/>
        <v>1009671.875</v>
      </c>
      <c r="J59" s="35">
        <f t="shared" ca="1" si="2"/>
        <v>7.4356164383561643</v>
      </c>
      <c r="K59" s="4">
        <f t="shared" ca="1" si="3"/>
        <v>7507532.7910958901</v>
      </c>
      <c r="L59" s="8">
        <f t="shared" ca="1" si="4"/>
        <v>569842.2089041099</v>
      </c>
    </row>
    <row r="60" spans="1:12" x14ac:dyDescent="0.25">
      <c r="A60">
        <v>59</v>
      </c>
      <c r="B60">
        <v>175</v>
      </c>
      <c r="C60" t="s">
        <v>2321</v>
      </c>
      <c r="D60" s="34">
        <v>43313</v>
      </c>
      <c r="E60" s="9">
        <v>8077375</v>
      </c>
      <c r="F60">
        <v>8</v>
      </c>
      <c r="G60" s="33">
        <v>0</v>
      </c>
      <c r="H60" s="4">
        <f t="shared" si="0"/>
        <v>0</v>
      </c>
      <c r="I60" s="4">
        <f t="shared" si="1"/>
        <v>1009671.875</v>
      </c>
      <c r="J60" s="35">
        <f t="shared" ca="1" si="2"/>
        <v>7.4356164383561643</v>
      </c>
      <c r="K60" s="4">
        <f t="shared" ca="1" si="3"/>
        <v>7507532.7910958901</v>
      </c>
      <c r="L60" s="8">
        <f t="shared" ca="1" si="4"/>
        <v>569842.2089041099</v>
      </c>
    </row>
    <row r="61" spans="1:12" x14ac:dyDescent="0.25">
      <c r="A61">
        <v>60</v>
      </c>
      <c r="B61">
        <v>176</v>
      </c>
      <c r="C61" t="s">
        <v>2321</v>
      </c>
      <c r="D61" s="34">
        <v>43313</v>
      </c>
      <c r="E61" s="9">
        <v>8077375</v>
      </c>
      <c r="F61">
        <v>8</v>
      </c>
      <c r="G61" s="33">
        <v>0</v>
      </c>
      <c r="H61" s="4">
        <f t="shared" si="0"/>
        <v>0</v>
      </c>
      <c r="I61" s="4">
        <f t="shared" si="1"/>
        <v>1009671.875</v>
      </c>
      <c r="J61" s="35">
        <f t="shared" ca="1" si="2"/>
        <v>7.4356164383561643</v>
      </c>
      <c r="K61" s="4">
        <f t="shared" ca="1" si="3"/>
        <v>7507532.7910958901</v>
      </c>
      <c r="L61" s="8">
        <f t="shared" ca="1" si="4"/>
        <v>569842.2089041099</v>
      </c>
    </row>
    <row r="62" spans="1:12" x14ac:dyDescent="0.25">
      <c r="A62">
        <v>61</v>
      </c>
      <c r="B62">
        <v>177</v>
      </c>
      <c r="C62" t="s">
        <v>2321</v>
      </c>
      <c r="D62" s="34">
        <v>43313</v>
      </c>
      <c r="E62" s="9">
        <v>8077375</v>
      </c>
      <c r="F62">
        <v>8</v>
      </c>
      <c r="G62" s="33">
        <v>0</v>
      </c>
      <c r="H62" s="4">
        <f t="shared" si="0"/>
        <v>0</v>
      </c>
      <c r="I62" s="4">
        <f t="shared" si="1"/>
        <v>1009671.875</v>
      </c>
      <c r="J62" s="35">
        <f t="shared" ca="1" si="2"/>
        <v>7.4356164383561643</v>
      </c>
      <c r="K62" s="4">
        <f t="shared" ca="1" si="3"/>
        <v>7507532.7910958901</v>
      </c>
      <c r="L62" s="8">
        <f t="shared" ca="1" si="4"/>
        <v>569842.2089041099</v>
      </c>
    </row>
    <row r="63" spans="1:12" x14ac:dyDescent="0.25">
      <c r="A63">
        <v>62</v>
      </c>
      <c r="B63">
        <v>178</v>
      </c>
      <c r="C63" t="s">
        <v>2321</v>
      </c>
      <c r="D63" s="34">
        <v>43313</v>
      </c>
      <c r="E63" s="9">
        <v>8077375</v>
      </c>
      <c r="F63">
        <v>8</v>
      </c>
      <c r="G63" s="33">
        <v>0</v>
      </c>
      <c r="H63" s="4">
        <f t="shared" si="0"/>
        <v>0</v>
      </c>
      <c r="I63" s="4">
        <f t="shared" si="1"/>
        <v>1009671.875</v>
      </c>
      <c r="J63" s="35">
        <f t="shared" ca="1" si="2"/>
        <v>7.4356164383561643</v>
      </c>
      <c r="K63" s="4">
        <f t="shared" ca="1" si="3"/>
        <v>7507532.7910958901</v>
      </c>
      <c r="L63" s="8">
        <f t="shared" ca="1" si="4"/>
        <v>569842.2089041099</v>
      </c>
    </row>
    <row r="64" spans="1:12" x14ac:dyDescent="0.25">
      <c r="A64">
        <v>63</v>
      </c>
      <c r="B64">
        <v>179</v>
      </c>
      <c r="C64" t="s">
        <v>2321</v>
      </c>
      <c r="D64" s="34">
        <v>43313</v>
      </c>
      <c r="E64" s="9">
        <v>8077375</v>
      </c>
      <c r="F64">
        <v>8</v>
      </c>
      <c r="G64" s="33">
        <v>0</v>
      </c>
      <c r="H64" s="4">
        <f t="shared" si="0"/>
        <v>0</v>
      </c>
      <c r="I64" s="4">
        <f t="shared" si="1"/>
        <v>1009671.875</v>
      </c>
      <c r="J64" s="35">
        <f t="shared" ca="1" si="2"/>
        <v>7.4356164383561643</v>
      </c>
      <c r="K64" s="4">
        <f t="shared" ca="1" si="3"/>
        <v>7507532.7910958901</v>
      </c>
      <c r="L64" s="8">
        <f t="shared" ca="1" si="4"/>
        <v>569842.2089041099</v>
      </c>
    </row>
    <row r="65" spans="1:12" x14ac:dyDescent="0.25">
      <c r="A65">
        <v>64</v>
      </c>
      <c r="B65">
        <v>180</v>
      </c>
      <c r="C65" t="s">
        <v>2321</v>
      </c>
      <c r="D65" s="34">
        <v>43313</v>
      </c>
      <c r="E65" s="9">
        <v>8077375</v>
      </c>
      <c r="F65">
        <v>8</v>
      </c>
      <c r="G65" s="33">
        <v>0</v>
      </c>
      <c r="H65" s="4">
        <f t="shared" si="0"/>
        <v>0</v>
      </c>
      <c r="I65" s="4">
        <f t="shared" si="1"/>
        <v>1009671.875</v>
      </c>
      <c r="J65" s="35">
        <f t="shared" ca="1" si="2"/>
        <v>7.4356164383561643</v>
      </c>
      <c r="K65" s="4">
        <f t="shared" ca="1" si="3"/>
        <v>7507532.7910958901</v>
      </c>
      <c r="L65" s="8">
        <f t="shared" ca="1" si="4"/>
        <v>569842.2089041099</v>
      </c>
    </row>
    <row r="66" spans="1:12" x14ac:dyDescent="0.25">
      <c r="A66">
        <v>65</v>
      </c>
      <c r="B66">
        <v>181</v>
      </c>
      <c r="C66" t="s">
        <v>2321</v>
      </c>
      <c r="D66" s="34">
        <v>43313</v>
      </c>
      <c r="E66" s="9">
        <v>8077375</v>
      </c>
      <c r="F66">
        <v>8</v>
      </c>
      <c r="G66" s="33">
        <v>0</v>
      </c>
      <c r="H66" s="4">
        <f t="shared" si="0"/>
        <v>0</v>
      </c>
      <c r="I66" s="4">
        <f t="shared" si="1"/>
        <v>1009671.875</v>
      </c>
      <c r="J66" s="35">
        <f t="shared" ca="1" si="2"/>
        <v>7.4356164383561643</v>
      </c>
      <c r="K66" s="4">
        <f t="shared" ca="1" si="3"/>
        <v>7507532.7910958901</v>
      </c>
      <c r="L66" s="8">
        <f t="shared" ca="1" si="4"/>
        <v>569842.2089041099</v>
      </c>
    </row>
    <row r="67" spans="1:12" x14ac:dyDescent="0.25">
      <c r="A67">
        <v>66</v>
      </c>
      <c r="B67">
        <v>182</v>
      </c>
      <c r="C67" t="s">
        <v>2322</v>
      </c>
      <c r="D67" s="34">
        <v>43313</v>
      </c>
      <c r="E67" s="9">
        <v>1128125</v>
      </c>
      <c r="F67">
        <v>8</v>
      </c>
      <c r="G67" s="33">
        <v>0</v>
      </c>
      <c r="H67" s="4">
        <f t="shared" ref="H67:H130" si="5">+E67*G67</f>
        <v>0</v>
      </c>
      <c r="I67" s="4">
        <f t="shared" ref="I67:I130" si="6">+(E67-H67)/F67</f>
        <v>141015.625</v>
      </c>
      <c r="J67" s="35">
        <f t="shared" ref="J67:J130" ca="1" si="7">(TODAY()-D67)/365</f>
        <v>7.4356164383561643</v>
      </c>
      <c r="K67" s="4">
        <f t="shared" ref="K67:K130" ca="1" si="8">+I67*J67</f>
        <v>1048538.0993150685</v>
      </c>
      <c r="L67" s="8">
        <f t="shared" ref="L67:L130" ca="1" si="9">+E67-K67</f>
        <v>79586.900684931548</v>
      </c>
    </row>
    <row r="68" spans="1:12" x14ac:dyDescent="0.25">
      <c r="A68">
        <v>67</v>
      </c>
      <c r="B68">
        <v>183</v>
      </c>
      <c r="C68" t="s">
        <v>2322</v>
      </c>
      <c r="D68" s="34">
        <v>43313</v>
      </c>
      <c r="E68" s="9">
        <v>1128125</v>
      </c>
      <c r="F68">
        <v>8</v>
      </c>
      <c r="G68" s="33">
        <v>0</v>
      </c>
      <c r="H68" s="4">
        <f t="shared" si="5"/>
        <v>0</v>
      </c>
      <c r="I68" s="4">
        <f t="shared" si="6"/>
        <v>141015.625</v>
      </c>
      <c r="J68" s="35">
        <f t="shared" ca="1" si="7"/>
        <v>7.4356164383561643</v>
      </c>
      <c r="K68" s="4">
        <f t="shared" ca="1" si="8"/>
        <v>1048538.0993150685</v>
      </c>
      <c r="L68" s="8">
        <f t="shared" ca="1" si="9"/>
        <v>79586.900684931548</v>
      </c>
    </row>
    <row r="69" spans="1:12" x14ac:dyDescent="0.25">
      <c r="A69">
        <v>68</v>
      </c>
      <c r="B69">
        <v>184</v>
      </c>
      <c r="C69" t="s">
        <v>2322</v>
      </c>
      <c r="D69" s="34">
        <v>43313</v>
      </c>
      <c r="E69" s="9">
        <v>1128125</v>
      </c>
      <c r="F69">
        <v>8</v>
      </c>
      <c r="G69" s="33">
        <v>0</v>
      </c>
      <c r="H69" s="4">
        <f t="shared" si="5"/>
        <v>0</v>
      </c>
      <c r="I69" s="4">
        <f t="shared" si="6"/>
        <v>141015.625</v>
      </c>
      <c r="J69" s="35">
        <f t="shared" ca="1" si="7"/>
        <v>7.4356164383561643</v>
      </c>
      <c r="K69" s="4">
        <f t="shared" ca="1" si="8"/>
        <v>1048538.0993150685</v>
      </c>
      <c r="L69" s="8">
        <f t="shared" ca="1" si="9"/>
        <v>79586.900684931548</v>
      </c>
    </row>
    <row r="70" spans="1:12" x14ac:dyDescent="0.25">
      <c r="A70">
        <v>69</v>
      </c>
      <c r="B70">
        <v>185</v>
      </c>
      <c r="C70" t="s">
        <v>2322</v>
      </c>
      <c r="D70" s="34">
        <v>43313</v>
      </c>
      <c r="E70" s="9">
        <v>1128125</v>
      </c>
      <c r="F70">
        <v>8</v>
      </c>
      <c r="G70" s="33">
        <v>0</v>
      </c>
      <c r="H70" s="4">
        <f t="shared" si="5"/>
        <v>0</v>
      </c>
      <c r="I70" s="4">
        <f t="shared" si="6"/>
        <v>141015.625</v>
      </c>
      <c r="J70" s="35">
        <f t="shared" ca="1" si="7"/>
        <v>7.4356164383561643</v>
      </c>
      <c r="K70" s="4">
        <f t="shared" ca="1" si="8"/>
        <v>1048538.0993150685</v>
      </c>
      <c r="L70" s="8">
        <f t="shared" ca="1" si="9"/>
        <v>79586.900684931548</v>
      </c>
    </row>
    <row r="71" spans="1:12" x14ac:dyDescent="0.25">
      <c r="A71">
        <v>70</v>
      </c>
      <c r="B71">
        <v>225</v>
      </c>
      <c r="C71" t="s">
        <v>2322</v>
      </c>
      <c r="D71" s="34">
        <v>43313</v>
      </c>
      <c r="E71" s="9">
        <v>1128125</v>
      </c>
      <c r="F71">
        <v>8</v>
      </c>
      <c r="G71" s="33">
        <v>0</v>
      </c>
      <c r="H71" s="4">
        <f t="shared" si="5"/>
        <v>0</v>
      </c>
      <c r="I71" s="4">
        <f t="shared" si="6"/>
        <v>141015.625</v>
      </c>
      <c r="J71" s="35">
        <f t="shared" ca="1" si="7"/>
        <v>7.4356164383561643</v>
      </c>
      <c r="K71" s="4">
        <f t="shared" ca="1" si="8"/>
        <v>1048538.0993150685</v>
      </c>
      <c r="L71" s="8">
        <f t="shared" ca="1" si="9"/>
        <v>79586.900684931548</v>
      </c>
    </row>
    <row r="72" spans="1:12" x14ac:dyDescent="0.25">
      <c r="A72">
        <v>71</v>
      </c>
      <c r="B72">
        <v>226</v>
      </c>
      <c r="C72" t="s">
        <v>2322</v>
      </c>
      <c r="D72" s="34">
        <v>43313</v>
      </c>
      <c r="E72" s="9">
        <v>1128125</v>
      </c>
      <c r="F72">
        <v>8</v>
      </c>
      <c r="G72" s="33">
        <v>0</v>
      </c>
      <c r="H72" s="4">
        <f t="shared" si="5"/>
        <v>0</v>
      </c>
      <c r="I72" s="4">
        <f t="shared" si="6"/>
        <v>141015.625</v>
      </c>
      <c r="J72" s="35">
        <f t="shared" ca="1" si="7"/>
        <v>7.4356164383561643</v>
      </c>
      <c r="K72" s="4">
        <f t="shared" ca="1" si="8"/>
        <v>1048538.0993150685</v>
      </c>
      <c r="L72" s="8">
        <f t="shared" ca="1" si="9"/>
        <v>79586.900684931548</v>
      </c>
    </row>
    <row r="73" spans="1:12" x14ac:dyDescent="0.25">
      <c r="A73">
        <v>72</v>
      </c>
      <c r="B73">
        <v>227</v>
      </c>
      <c r="C73" t="s">
        <v>2322</v>
      </c>
      <c r="D73" s="34">
        <v>43313</v>
      </c>
      <c r="E73" s="9">
        <v>1128125</v>
      </c>
      <c r="F73">
        <v>8</v>
      </c>
      <c r="G73" s="33">
        <v>0</v>
      </c>
      <c r="H73" s="4">
        <f t="shared" si="5"/>
        <v>0</v>
      </c>
      <c r="I73" s="4">
        <f t="shared" si="6"/>
        <v>141015.625</v>
      </c>
      <c r="J73" s="35">
        <f t="shared" ca="1" si="7"/>
        <v>7.4356164383561643</v>
      </c>
      <c r="K73" s="4">
        <f t="shared" ca="1" si="8"/>
        <v>1048538.0993150685</v>
      </c>
      <c r="L73" s="8">
        <f t="shared" ca="1" si="9"/>
        <v>79586.900684931548</v>
      </c>
    </row>
    <row r="74" spans="1:12" x14ac:dyDescent="0.25">
      <c r="A74">
        <v>73</v>
      </c>
      <c r="B74">
        <v>228</v>
      </c>
      <c r="C74" t="s">
        <v>2322</v>
      </c>
      <c r="D74" s="34">
        <v>43313</v>
      </c>
      <c r="E74" s="9">
        <v>1128125</v>
      </c>
      <c r="F74">
        <v>8</v>
      </c>
      <c r="G74" s="33">
        <v>0</v>
      </c>
      <c r="H74" s="4">
        <f t="shared" si="5"/>
        <v>0</v>
      </c>
      <c r="I74" s="4">
        <f t="shared" si="6"/>
        <v>141015.625</v>
      </c>
      <c r="J74" s="35">
        <f t="shared" ca="1" si="7"/>
        <v>7.4356164383561643</v>
      </c>
      <c r="K74" s="4">
        <f t="shared" ca="1" si="8"/>
        <v>1048538.0993150685</v>
      </c>
      <c r="L74" s="8">
        <f t="shared" ca="1" si="9"/>
        <v>79586.900684931548</v>
      </c>
    </row>
    <row r="75" spans="1:12" x14ac:dyDescent="0.25">
      <c r="A75">
        <v>74</v>
      </c>
      <c r="B75">
        <v>229</v>
      </c>
      <c r="C75" t="s">
        <v>2322</v>
      </c>
      <c r="D75" s="34">
        <v>43313</v>
      </c>
      <c r="E75" s="9">
        <v>1128125</v>
      </c>
      <c r="F75">
        <v>8</v>
      </c>
      <c r="G75" s="33">
        <v>0</v>
      </c>
      <c r="H75" s="4">
        <f t="shared" si="5"/>
        <v>0</v>
      </c>
      <c r="I75" s="4">
        <f t="shared" si="6"/>
        <v>141015.625</v>
      </c>
      <c r="J75" s="35">
        <f t="shared" ca="1" si="7"/>
        <v>7.4356164383561643</v>
      </c>
      <c r="K75" s="4">
        <f t="shared" ca="1" si="8"/>
        <v>1048538.0993150685</v>
      </c>
      <c r="L75" s="8">
        <f t="shared" ca="1" si="9"/>
        <v>79586.900684931548</v>
      </c>
    </row>
    <row r="76" spans="1:12" x14ac:dyDescent="0.25">
      <c r="A76">
        <v>75</v>
      </c>
      <c r="B76">
        <v>230</v>
      </c>
      <c r="C76" t="s">
        <v>2322</v>
      </c>
      <c r="D76" s="34">
        <v>43313</v>
      </c>
      <c r="E76" s="9">
        <v>1128125</v>
      </c>
      <c r="F76">
        <v>8</v>
      </c>
      <c r="G76" s="33">
        <v>0</v>
      </c>
      <c r="H76" s="4">
        <f t="shared" si="5"/>
        <v>0</v>
      </c>
      <c r="I76" s="4">
        <f t="shared" si="6"/>
        <v>141015.625</v>
      </c>
      <c r="J76" s="35">
        <f t="shared" ca="1" si="7"/>
        <v>7.4356164383561643</v>
      </c>
      <c r="K76" s="4">
        <f t="shared" ca="1" si="8"/>
        <v>1048538.0993150685</v>
      </c>
      <c r="L76" s="8">
        <f t="shared" ca="1" si="9"/>
        <v>79586.900684931548</v>
      </c>
    </row>
    <row r="77" spans="1:12" x14ac:dyDescent="0.25">
      <c r="A77">
        <v>76</v>
      </c>
      <c r="B77">
        <v>231</v>
      </c>
      <c r="C77" t="s">
        <v>2323</v>
      </c>
      <c r="D77" s="34">
        <v>43313</v>
      </c>
      <c r="E77" s="9">
        <v>2120875</v>
      </c>
      <c r="F77">
        <v>8</v>
      </c>
      <c r="G77" s="33">
        <v>0</v>
      </c>
      <c r="H77" s="4">
        <f t="shared" si="5"/>
        <v>0</v>
      </c>
      <c r="I77" s="4">
        <f t="shared" si="6"/>
        <v>265109.375</v>
      </c>
      <c r="J77" s="35">
        <f t="shared" ca="1" si="7"/>
        <v>7.4356164383561643</v>
      </c>
      <c r="K77" s="4">
        <f t="shared" ca="1" si="8"/>
        <v>1971251.6267123288</v>
      </c>
      <c r="L77" s="8">
        <f t="shared" ca="1" si="9"/>
        <v>149623.37328767125</v>
      </c>
    </row>
    <row r="78" spans="1:12" x14ac:dyDescent="0.25">
      <c r="A78">
        <v>77</v>
      </c>
      <c r="B78">
        <v>232</v>
      </c>
      <c r="C78" t="s">
        <v>2323</v>
      </c>
      <c r="D78" s="34">
        <v>43313</v>
      </c>
      <c r="E78" s="9">
        <v>2120875</v>
      </c>
      <c r="F78">
        <v>8</v>
      </c>
      <c r="G78" s="33">
        <v>0</v>
      </c>
      <c r="H78" s="4">
        <f t="shared" si="5"/>
        <v>0</v>
      </c>
      <c r="I78" s="4">
        <f t="shared" si="6"/>
        <v>265109.375</v>
      </c>
      <c r="J78" s="35">
        <f t="shared" ca="1" si="7"/>
        <v>7.4356164383561643</v>
      </c>
      <c r="K78" s="4">
        <f t="shared" ca="1" si="8"/>
        <v>1971251.6267123288</v>
      </c>
      <c r="L78" s="8">
        <f t="shared" ca="1" si="9"/>
        <v>149623.37328767125</v>
      </c>
    </row>
    <row r="79" spans="1:12" x14ac:dyDescent="0.25">
      <c r="A79">
        <v>78</v>
      </c>
      <c r="B79">
        <v>233</v>
      </c>
      <c r="C79" t="s">
        <v>2323</v>
      </c>
      <c r="D79" s="34">
        <v>43313</v>
      </c>
      <c r="E79" s="9">
        <v>2120875</v>
      </c>
      <c r="F79">
        <v>8</v>
      </c>
      <c r="G79" s="33">
        <v>0</v>
      </c>
      <c r="H79" s="4">
        <f t="shared" si="5"/>
        <v>0</v>
      </c>
      <c r="I79" s="4">
        <f t="shared" si="6"/>
        <v>265109.375</v>
      </c>
      <c r="J79" s="35">
        <f t="shared" ca="1" si="7"/>
        <v>7.4356164383561643</v>
      </c>
      <c r="K79" s="4">
        <f t="shared" ca="1" si="8"/>
        <v>1971251.6267123288</v>
      </c>
      <c r="L79" s="8">
        <f t="shared" ca="1" si="9"/>
        <v>149623.37328767125</v>
      </c>
    </row>
    <row r="80" spans="1:12" x14ac:dyDescent="0.25">
      <c r="A80">
        <v>79</v>
      </c>
      <c r="B80">
        <v>234</v>
      </c>
      <c r="C80" t="s">
        <v>2323</v>
      </c>
      <c r="D80" s="34">
        <v>43313</v>
      </c>
      <c r="E80" s="9">
        <v>2120875</v>
      </c>
      <c r="F80">
        <v>8</v>
      </c>
      <c r="G80" s="33">
        <v>0</v>
      </c>
      <c r="H80" s="4">
        <f t="shared" si="5"/>
        <v>0</v>
      </c>
      <c r="I80" s="4">
        <f t="shared" si="6"/>
        <v>265109.375</v>
      </c>
      <c r="J80" s="35">
        <f t="shared" ca="1" si="7"/>
        <v>7.4356164383561643</v>
      </c>
      <c r="K80" s="4">
        <f t="shared" ca="1" si="8"/>
        <v>1971251.6267123288</v>
      </c>
      <c r="L80" s="8">
        <f t="shared" ca="1" si="9"/>
        <v>149623.37328767125</v>
      </c>
    </row>
    <row r="81" spans="1:12" x14ac:dyDescent="0.25">
      <c r="A81">
        <v>80</v>
      </c>
      <c r="B81">
        <v>187</v>
      </c>
      <c r="C81" t="s">
        <v>2323</v>
      </c>
      <c r="D81" s="34">
        <v>43313</v>
      </c>
      <c r="E81" s="9">
        <v>2120875</v>
      </c>
      <c r="F81">
        <v>8</v>
      </c>
      <c r="G81" s="33">
        <v>0</v>
      </c>
      <c r="H81" s="4">
        <f t="shared" si="5"/>
        <v>0</v>
      </c>
      <c r="I81" s="4">
        <f t="shared" si="6"/>
        <v>265109.375</v>
      </c>
      <c r="J81" s="35">
        <f t="shared" ca="1" si="7"/>
        <v>7.4356164383561643</v>
      </c>
      <c r="K81" s="4">
        <f t="shared" ca="1" si="8"/>
        <v>1971251.6267123288</v>
      </c>
      <c r="L81" s="8">
        <f t="shared" ca="1" si="9"/>
        <v>149623.37328767125</v>
      </c>
    </row>
    <row r="82" spans="1:12" x14ac:dyDescent="0.25">
      <c r="A82">
        <v>81</v>
      </c>
      <c r="B82">
        <v>188</v>
      </c>
      <c r="C82" t="s">
        <v>2323</v>
      </c>
      <c r="D82" s="34">
        <v>43313</v>
      </c>
      <c r="E82" s="9">
        <v>2120875</v>
      </c>
      <c r="F82">
        <v>8</v>
      </c>
      <c r="G82" s="33">
        <v>0</v>
      </c>
      <c r="H82" s="4">
        <f t="shared" si="5"/>
        <v>0</v>
      </c>
      <c r="I82" s="4">
        <f t="shared" si="6"/>
        <v>265109.375</v>
      </c>
      <c r="J82" s="35">
        <f t="shared" ca="1" si="7"/>
        <v>7.4356164383561643</v>
      </c>
      <c r="K82" s="4">
        <f t="shared" ca="1" si="8"/>
        <v>1971251.6267123288</v>
      </c>
      <c r="L82" s="8">
        <f t="shared" ca="1" si="9"/>
        <v>149623.37328767125</v>
      </c>
    </row>
    <row r="83" spans="1:12" x14ac:dyDescent="0.25">
      <c r="A83">
        <v>82</v>
      </c>
      <c r="B83">
        <v>235</v>
      </c>
      <c r="C83" t="s">
        <v>2324</v>
      </c>
      <c r="D83" s="34">
        <v>43313</v>
      </c>
      <c r="E83" s="9">
        <v>26407150</v>
      </c>
      <c r="F83">
        <v>20</v>
      </c>
      <c r="G83" s="32">
        <v>0.1</v>
      </c>
      <c r="H83" s="4">
        <f t="shared" si="5"/>
        <v>2640715</v>
      </c>
      <c r="I83" s="4">
        <f t="shared" si="6"/>
        <v>1188321.75</v>
      </c>
      <c r="J83" s="35">
        <f t="shared" ca="1" si="7"/>
        <v>7.4356164383561643</v>
      </c>
      <c r="K83" s="4">
        <f t="shared" ca="1" si="8"/>
        <v>8835904.7383561637</v>
      </c>
      <c r="L83" s="8">
        <f t="shared" ca="1" si="9"/>
        <v>17571245.261643834</v>
      </c>
    </row>
    <row r="84" spans="1:12" x14ac:dyDescent="0.25">
      <c r="A84">
        <v>83</v>
      </c>
      <c r="B84">
        <v>236</v>
      </c>
      <c r="C84" t="s">
        <v>2325</v>
      </c>
      <c r="D84" s="34">
        <v>43313</v>
      </c>
      <c r="E84" s="9">
        <v>3658735</v>
      </c>
      <c r="F84">
        <v>10</v>
      </c>
      <c r="G84" s="32">
        <v>0.1</v>
      </c>
      <c r="H84" s="4">
        <f t="shared" si="5"/>
        <v>365873.5</v>
      </c>
      <c r="I84" s="4">
        <f t="shared" si="6"/>
        <v>329286.15000000002</v>
      </c>
      <c r="J84" s="35">
        <f t="shared" ca="1" si="7"/>
        <v>7.4356164383561643</v>
      </c>
      <c r="K84" s="4">
        <f t="shared" ca="1" si="8"/>
        <v>2448445.5098630139</v>
      </c>
      <c r="L84" s="8">
        <f t="shared" ca="1" si="9"/>
        <v>1210289.4901369861</v>
      </c>
    </row>
    <row r="85" spans="1:12" x14ac:dyDescent="0.25">
      <c r="A85">
        <v>84</v>
      </c>
      <c r="B85">
        <v>237</v>
      </c>
      <c r="C85" t="s">
        <v>2325</v>
      </c>
      <c r="D85" s="34">
        <v>43313</v>
      </c>
      <c r="E85" s="9">
        <v>3658735</v>
      </c>
      <c r="F85">
        <v>10</v>
      </c>
      <c r="G85" s="32">
        <v>0.1</v>
      </c>
      <c r="H85" s="4">
        <f t="shared" si="5"/>
        <v>365873.5</v>
      </c>
      <c r="I85" s="4">
        <f t="shared" si="6"/>
        <v>329286.15000000002</v>
      </c>
      <c r="J85" s="35">
        <f t="shared" ca="1" si="7"/>
        <v>7.4356164383561643</v>
      </c>
      <c r="K85" s="4">
        <f t="shared" ca="1" si="8"/>
        <v>2448445.5098630139</v>
      </c>
      <c r="L85" s="8">
        <f t="shared" ca="1" si="9"/>
        <v>1210289.4901369861</v>
      </c>
    </row>
    <row r="86" spans="1:12" x14ac:dyDescent="0.25">
      <c r="A86">
        <v>85</v>
      </c>
      <c r="B86">
        <v>239</v>
      </c>
      <c r="C86" t="s">
        <v>2326</v>
      </c>
      <c r="D86" s="34">
        <v>43313</v>
      </c>
      <c r="E86" s="9">
        <v>4963750</v>
      </c>
      <c r="F86">
        <v>20</v>
      </c>
      <c r="G86" s="32">
        <v>0.1</v>
      </c>
      <c r="H86" s="4">
        <f t="shared" si="5"/>
        <v>496375</v>
      </c>
      <c r="I86" s="4">
        <f t="shared" si="6"/>
        <v>223368.75</v>
      </c>
      <c r="J86" s="35">
        <f t="shared" ca="1" si="7"/>
        <v>7.4356164383561643</v>
      </c>
      <c r="K86" s="4">
        <f t="shared" ca="1" si="8"/>
        <v>1660884.3493150685</v>
      </c>
      <c r="L86" s="8">
        <f t="shared" ca="1" si="9"/>
        <v>3302865.6506849313</v>
      </c>
    </row>
    <row r="87" spans="1:12" x14ac:dyDescent="0.25">
      <c r="A87">
        <v>86</v>
      </c>
      <c r="B87">
        <v>240</v>
      </c>
      <c r="C87" t="s">
        <v>2327</v>
      </c>
      <c r="D87" s="34">
        <v>43313</v>
      </c>
      <c r="E87" s="9">
        <v>40612500</v>
      </c>
      <c r="F87">
        <v>20</v>
      </c>
      <c r="G87" s="32">
        <v>0.1</v>
      </c>
      <c r="H87" s="4">
        <f t="shared" si="5"/>
        <v>4061250</v>
      </c>
      <c r="I87" s="4">
        <f t="shared" si="6"/>
        <v>1827562.5</v>
      </c>
      <c r="J87" s="35">
        <f t="shared" ca="1" si="7"/>
        <v>7.4356164383561643</v>
      </c>
      <c r="K87" s="4">
        <f t="shared" ca="1" si="8"/>
        <v>13589053.767123288</v>
      </c>
      <c r="L87" s="8">
        <f t="shared" ca="1" si="9"/>
        <v>27023446.232876711</v>
      </c>
    </row>
    <row r="88" spans="1:12" x14ac:dyDescent="0.25">
      <c r="A88">
        <v>87</v>
      </c>
      <c r="B88">
        <v>241</v>
      </c>
      <c r="C88" t="s">
        <v>2327</v>
      </c>
      <c r="D88" s="34">
        <v>43313</v>
      </c>
      <c r="E88" s="9">
        <v>40612500</v>
      </c>
      <c r="F88">
        <v>20</v>
      </c>
      <c r="G88" s="32">
        <v>0.1</v>
      </c>
      <c r="H88" s="4">
        <f t="shared" si="5"/>
        <v>4061250</v>
      </c>
      <c r="I88" s="4">
        <f t="shared" si="6"/>
        <v>1827562.5</v>
      </c>
      <c r="J88" s="35">
        <f t="shared" ca="1" si="7"/>
        <v>7.4356164383561643</v>
      </c>
      <c r="K88" s="4">
        <f t="shared" ca="1" si="8"/>
        <v>13589053.767123288</v>
      </c>
      <c r="L88" s="8">
        <f t="shared" ca="1" si="9"/>
        <v>27023446.232876711</v>
      </c>
    </row>
    <row r="89" spans="1:12" x14ac:dyDescent="0.25">
      <c r="A89">
        <v>88</v>
      </c>
      <c r="B89">
        <v>242</v>
      </c>
      <c r="C89" t="s">
        <v>2327</v>
      </c>
      <c r="D89" s="34">
        <v>43313</v>
      </c>
      <c r="E89" s="9">
        <v>40612500</v>
      </c>
      <c r="F89">
        <v>20</v>
      </c>
      <c r="G89" s="32">
        <v>0.1</v>
      </c>
      <c r="H89" s="4">
        <f t="shared" si="5"/>
        <v>4061250</v>
      </c>
      <c r="I89" s="4">
        <f t="shared" si="6"/>
        <v>1827562.5</v>
      </c>
      <c r="J89" s="35">
        <f t="shared" ca="1" si="7"/>
        <v>7.4356164383561643</v>
      </c>
      <c r="K89" s="4">
        <f t="shared" ca="1" si="8"/>
        <v>13589053.767123288</v>
      </c>
      <c r="L89" s="8">
        <f t="shared" ca="1" si="9"/>
        <v>27023446.232876711</v>
      </c>
    </row>
    <row r="90" spans="1:12" x14ac:dyDescent="0.25">
      <c r="A90">
        <v>89</v>
      </c>
      <c r="B90">
        <v>243</v>
      </c>
      <c r="C90" t="s">
        <v>2327</v>
      </c>
      <c r="D90" s="34">
        <v>43313</v>
      </c>
      <c r="E90" s="9">
        <v>40612500</v>
      </c>
      <c r="F90">
        <v>20</v>
      </c>
      <c r="G90" s="32">
        <v>0.1</v>
      </c>
      <c r="H90" s="4">
        <f t="shared" si="5"/>
        <v>4061250</v>
      </c>
      <c r="I90" s="4">
        <f t="shared" si="6"/>
        <v>1827562.5</v>
      </c>
      <c r="J90" s="35">
        <f t="shared" ca="1" si="7"/>
        <v>7.4356164383561643</v>
      </c>
      <c r="K90" s="4">
        <f t="shared" ca="1" si="8"/>
        <v>13589053.767123288</v>
      </c>
      <c r="L90" s="8">
        <f t="shared" ca="1" si="9"/>
        <v>27023446.232876711</v>
      </c>
    </row>
    <row r="91" spans="1:12" x14ac:dyDescent="0.25">
      <c r="A91">
        <v>90</v>
      </c>
      <c r="B91">
        <v>244</v>
      </c>
      <c r="C91" t="s">
        <v>2328</v>
      </c>
      <c r="D91" s="34">
        <v>43313</v>
      </c>
      <c r="E91" s="9">
        <v>30685000</v>
      </c>
      <c r="F91">
        <v>10</v>
      </c>
      <c r="G91" s="32">
        <v>0.1</v>
      </c>
      <c r="H91" s="4">
        <f t="shared" si="5"/>
        <v>3068500</v>
      </c>
      <c r="I91" s="4">
        <f t="shared" si="6"/>
        <v>2761650</v>
      </c>
      <c r="J91" s="35">
        <f t="shared" ca="1" si="7"/>
        <v>7.4356164383561643</v>
      </c>
      <c r="K91" s="4">
        <f t="shared" ca="1" si="8"/>
        <v>20534570.1369863</v>
      </c>
      <c r="L91" s="8">
        <f t="shared" ca="1" si="9"/>
        <v>10150429.8630137</v>
      </c>
    </row>
    <row r="92" spans="1:12" x14ac:dyDescent="0.25">
      <c r="A92">
        <v>91</v>
      </c>
      <c r="B92">
        <v>245</v>
      </c>
      <c r="C92" t="s">
        <v>2329</v>
      </c>
      <c r="D92" s="34">
        <v>43313</v>
      </c>
      <c r="E92" s="9">
        <v>12815500</v>
      </c>
      <c r="F92">
        <v>10</v>
      </c>
      <c r="G92" s="32">
        <v>0.1</v>
      </c>
      <c r="H92" s="4">
        <f t="shared" si="5"/>
        <v>1281550</v>
      </c>
      <c r="I92" s="4">
        <f t="shared" si="6"/>
        <v>1153395</v>
      </c>
      <c r="J92" s="35">
        <f t="shared" ca="1" si="7"/>
        <v>7.4356164383561643</v>
      </c>
      <c r="K92" s="4">
        <f t="shared" ca="1" si="8"/>
        <v>8576202.8219178077</v>
      </c>
      <c r="L92" s="8">
        <f t="shared" ca="1" si="9"/>
        <v>4239297.1780821923</v>
      </c>
    </row>
    <row r="93" spans="1:12" x14ac:dyDescent="0.25">
      <c r="A93">
        <v>92</v>
      </c>
      <c r="B93">
        <v>246</v>
      </c>
      <c r="C93" t="s">
        <v>2330</v>
      </c>
      <c r="D93" s="34">
        <v>43313</v>
      </c>
      <c r="E93" s="9">
        <v>8122500</v>
      </c>
      <c r="F93">
        <v>10</v>
      </c>
      <c r="G93" s="32">
        <v>0.1</v>
      </c>
      <c r="H93" s="4">
        <f t="shared" si="5"/>
        <v>812250</v>
      </c>
      <c r="I93" s="4">
        <f t="shared" si="6"/>
        <v>731025</v>
      </c>
      <c r="J93" s="35">
        <f t="shared" ca="1" si="7"/>
        <v>7.4356164383561643</v>
      </c>
      <c r="K93" s="4">
        <f t="shared" ca="1" si="8"/>
        <v>5435621.506849315</v>
      </c>
      <c r="L93" s="8">
        <f t="shared" ca="1" si="9"/>
        <v>2686878.493150685</v>
      </c>
    </row>
    <row r="94" spans="1:12" x14ac:dyDescent="0.25">
      <c r="A94">
        <v>93</v>
      </c>
      <c r="B94">
        <v>247</v>
      </c>
      <c r="C94" t="s">
        <v>2331</v>
      </c>
      <c r="D94" s="34">
        <v>43313</v>
      </c>
      <c r="E94" s="9">
        <v>8122500</v>
      </c>
      <c r="F94">
        <v>20</v>
      </c>
      <c r="G94" s="32">
        <v>0.1</v>
      </c>
      <c r="H94" s="4">
        <f t="shared" si="5"/>
        <v>812250</v>
      </c>
      <c r="I94" s="4">
        <f t="shared" si="6"/>
        <v>365512.5</v>
      </c>
      <c r="J94" s="35">
        <f t="shared" ca="1" si="7"/>
        <v>7.4356164383561643</v>
      </c>
      <c r="K94" s="4">
        <f t="shared" ca="1" si="8"/>
        <v>2717810.7534246575</v>
      </c>
      <c r="L94" s="8">
        <f t="shared" ca="1" si="9"/>
        <v>5404689.2465753425</v>
      </c>
    </row>
    <row r="95" spans="1:12" x14ac:dyDescent="0.25">
      <c r="A95">
        <v>94</v>
      </c>
      <c r="B95">
        <v>248</v>
      </c>
      <c r="C95" t="s">
        <v>2330</v>
      </c>
      <c r="D95" s="34">
        <v>43313</v>
      </c>
      <c r="E95" s="9">
        <v>12815500</v>
      </c>
      <c r="F95">
        <v>10</v>
      </c>
      <c r="G95" s="32">
        <v>0.1</v>
      </c>
      <c r="H95" s="4">
        <f t="shared" si="5"/>
        <v>1281550</v>
      </c>
      <c r="I95" s="4">
        <f t="shared" si="6"/>
        <v>1153395</v>
      </c>
      <c r="J95" s="35">
        <f t="shared" ca="1" si="7"/>
        <v>7.4356164383561643</v>
      </c>
      <c r="K95" s="4">
        <f t="shared" ca="1" si="8"/>
        <v>8576202.8219178077</v>
      </c>
      <c r="L95" s="8">
        <f t="shared" ca="1" si="9"/>
        <v>4239297.1780821923</v>
      </c>
    </row>
    <row r="96" spans="1:12" x14ac:dyDescent="0.25">
      <c r="A96">
        <v>95</v>
      </c>
      <c r="B96">
        <v>249</v>
      </c>
      <c r="C96" t="s">
        <v>2301</v>
      </c>
      <c r="D96" s="34">
        <v>43313</v>
      </c>
      <c r="E96" s="9">
        <v>961100.22749999992</v>
      </c>
      <c r="F96">
        <v>10</v>
      </c>
      <c r="G96" s="32">
        <v>0.1</v>
      </c>
      <c r="H96" s="4">
        <f t="shared" si="5"/>
        <v>96110.022750000004</v>
      </c>
      <c r="I96" s="4">
        <f t="shared" si="6"/>
        <v>86499.020474999998</v>
      </c>
      <c r="J96" s="35">
        <f t="shared" ca="1" si="7"/>
        <v>7.4356164383561643</v>
      </c>
      <c r="K96" s="4">
        <f t="shared" ca="1" si="8"/>
        <v>643173.53854561644</v>
      </c>
      <c r="L96" s="8">
        <f t="shared" ca="1" si="9"/>
        <v>317926.68895438348</v>
      </c>
    </row>
    <row r="97" spans="1:12" x14ac:dyDescent="0.25">
      <c r="A97">
        <v>96</v>
      </c>
      <c r="B97">
        <v>250</v>
      </c>
      <c r="C97" t="s">
        <v>2332</v>
      </c>
      <c r="D97" s="34">
        <v>43313</v>
      </c>
      <c r="E97" s="9">
        <v>1128125</v>
      </c>
      <c r="F97">
        <v>10</v>
      </c>
      <c r="G97" s="32">
        <v>0.1</v>
      </c>
      <c r="H97" s="4">
        <f t="shared" si="5"/>
        <v>112812.5</v>
      </c>
      <c r="I97" s="4">
        <f t="shared" si="6"/>
        <v>101531.25</v>
      </c>
      <c r="J97" s="35">
        <f t="shared" ca="1" si="7"/>
        <v>7.4356164383561643</v>
      </c>
      <c r="K97" s="4">
        <f t="shared" ca="1" si="8"/>
        <v>754947.43150684936</v>
      </c>
      <c r="L97" s="8">
        <f t="shared" ca="1" si="9"/>
        <v>373177.56849315064</v>
      </c>
    </row>
    <row r="98" spans="1:12" x14ac:dyDescent="0.25">
      <c r="A98">
        <v>97</v>
      </c>
      <c r="B98">
        <v>251</v>
      </c>
      <c r="C98" t="s">
        <v>2333</v>
      </c>
      <c r="D98" s="34">
        <v>43313</v>
      </c>
      <c r="E98" s="9">
        <v>1092927.5</v>
      </c>
      <c r="F98">
        <v>10</v>
      </c>
      <c r="G98" s="32">
        <v>0.1</v>
      </c>
      <c r="H98" s="4">
        <f t="shared" si="5"/>
        <v>109292.75</v>
      </c>
      <c r="I98" s="4">
        <f t="shared" si="6"/>
        <v>98363.475000000006</v>
      </c>
      <c r="J98" s="35">
        <f t="shared" ca="1" si="7"/>
        <v>7.4356164383561643</v>
      </c>
      <c r="K98" s="4">
        <f t="shared" ca="1" si="8"/>
        <v>731393.07164383563</v>
      </c>
      <c r="L98" s="8">
        <f t="shared" ca="1" si="9"/>
        <v>361534.42835616437</v>
      </c>
    </row>
    <row r="99" spans="1:12" x14ac:dyDescent="0.25">
      <c r="A99">
        <v>98</v>
      </c>
      <c r="B99">
        <v>252</v>
      </c>
      <c r="C99" t="s">
        <v>2334</v>
      </c>
      <c r="D99" s="34">
        <v>43313</v>
      </c>
      <c r="E99" s="9">
        <v>1092927.5</v>
      </c>
      <c r="F99">
        <v>10</v>
      </c>
      <c r="G99" s="32">
        <v>0.1</v>
      </c>
      <c r="H99" s="4">
        <f t="shared" si="5"/>
        <v>109292.75</v>
      </c>
      <c r="I99" s="4">
        <f t="shared" si="6"/>
        <v>98363.475000000006</v>
      </c>
      <c r="J99" s="35">
        <f t="shared" ca="1" si="7"/>
        <v>7.4356164383561643</v>
      </c>
      <c r="K99" s="4">
        <f t="shared" ca="1" si="8"/>
        <v>731393.07164383563</v>
      </c>
      <c r="L99" s="8">
        <f t="shared" ca="1" si="9"/>
        <v>361534.42835616437</v>
      </c>
    </row>
    <row r="100" spans="1:12" x14ac:dyDescent="0.25">
      <c r="A100">
        <v>99</v>
      </c>
      <c r="B100">
        <v>255</v>
      </c>
      <c r="C100" t="s">
        <v>2335</v>
      </c>
      <c r="D100" s="34">
        <v>43313</v>
      </c>
      <c r="E100" s="9">
        <v>72200000</v>
      </c>
      <c r="F100">
        <v>10</v>
      </c>
      <c r="G100" s="32">
        <v>0.1</v>
      </c>
      <c r="H100" s="4">
        <f t="shared" si="5"/>
        <v>7220000</v>
      </c>
      <c r="I100" s="4">
        <f t="shared" si="6"/>
        <v>6498000</v>
      </c>
      <c r="J100" s="35">
        <f t="shared" ca="1" si="7"/>
        <v>7.4356164383561643</v>
      </c>
      <c r="K100" s="4">
        <f t="shared" ca="1" si="8"/>
        <v>48316635.616438359</v>
      </c>
      <c r="L100" s="8">
        <f t="shared" ca="1" si="9"/>
        <v>23883364.383561641</v>
      </c>
    </row>
    <row r="101" spans="1:12" x14ac:dyDescent="0.25">
      <c r="A101">
        <v>100</v>
      </c>
      <c r="B101">
        <v>253</v>
      </c>
      <c r="C101" t="s">
        <v>2336</v>
      </c>
      <c r="D101" s="34">
        <v>43313</v>
      </c>
      <c r="E101" s="9"/>
      <c r="F101">
        <v>8</v>
      </c>
      <c r="G101" s="33">
        <v>0.1</v>
      </c>
      <c r="H101" s="4">
        <f t="shared" si="5"/>
        <v>0</v>
      </c>
      <c r="I101" s="4">
        <f t="shared" si="6"/>
        <v>0</v>
      </c>
      <c r="J101" s="35">
        <f t="shared" ca="1" si="7"/>
        <v>7.4356164383561643</v>
      </c>
      <c r="K101" s="4">
        <f t="shared" ca="1" si="8"/>
        <v>0</v>
      </c>
      <c r="L101" s="8">
        <f t="shared" ca="1" si="9"/>
        <v>0</v>
      </c>
    </row>
    <row r="102" spans="1:12" x14ac:dyDescent="0.25">
      <c r="A102">
        <v>101</v>
      </c>
      <c r="B102">
        <v>254</v>
      </c>
      <c r="C102" t="s">
        <v>2337</v>
      </c>
      <c r="D102" s="34">
        <v>43313</v>
      </c>
      <c r="E102" s="9"/>
      <c r="F102">
        <v>8</v>
      </c>
      <c r="G102" s="33">
        <v>0.1</v>
      </c>
      <c r="H102" s="4">
        <f t="shared" si="5"/>
        <v>0</v>
      </c>
      <c r="I102" s="4">
        <f t="shared" si="6"/>
        <v>0</v>
      </c>
      <c r="J102" s="35">
        <f t="shared" ca="1" si="7"/>
        <v>7.4356164383561643</v>
      </c>
      <c r="K102" s="4">
        <f t="shared" ca="1" si="8"/>
        <v>0</v>
      </c>
      <c r="L102" s="8">
        <f t="shared" ca="1" si="9"/>
        <v>0</v>
      </c>
    </row>
    <row r="103" spans="1:12" x14ac:dyDescent="0.25">
      <c r="A103">
        <v>102</v>
      </c>
      <c r="B103">
        <v>256</v>
      </c>
      <c r="C103" t="s">
        <v>2338</v>
      </c>
      <c r="D103" s="34">
        <v>43313</v>
      </c>
      <c r="E103" s="9"/>
      <c r="F103">
        <v>8</v>
      </c>
      <c r="G103" s="33">
        <v>0.1</v>
      </c>
      <c r="H103" s="4">
        <f t="shared" si="5"/>
        <v>0</v>
      </c>
      <c r="I103" s="4">
        <f t="shared" si="6"/>
        <v>0</v>
      </c>
      <c r="J103" s="35">
        <f t="shared" ca="1" si="7"/>
        <v>7.4356164383561643</v>
      </c>
      <c r="K103" s="4">
        <f t="shared" ca="1" si="8"/>
        <v>0</v>
      </c>
      <c r="L103" s="8">
        <f t="shared" ca="1" si="9"/>
        <v>0</v>
      </c>
    </row>
    <row r="104" spans="1:12" x14ac:dyDescent="0.25">
      <c r="A104">
        <v>103</v>
      </c>
      <c r="B104">
        <v>257</v>
      </c>
      <c r="C104" t="s">
        <v>2339</v>
      </c>
      <c r="D104" s="34">
        <v>43313</v>
      </c>
      <c r="E104" s="9"/>
      <c r="F104">
        <v>20</v>
      </c>
      <c r="G104" s="32">
        <v>0.1</v>
      </c>
      <c r="H104" s="4">
        <f t="shared" si="5"/>
        <v>0</v>
      </c>
      <c r="I104" s="4">
        <f t="shared" si="6"/>
        <v>0</v>
      </c>
      <c r="J104" s="35">
        <f t="shared" ca="1" si="7"/>
        <v>7.4356164383561643</v>
      </c>
      <c r="K104" s="4">
        <f t="shared" ca="1" si="8"/>
        <v>0</v>
      </c>
      <c r="L104" s="8">
        <f t="shared" ca="1" si="9"/>
        <v>0</v>
      </c>
    </row>
    <row r="105" spans="1:12" x14ac:dyDescent="0.25">
      <c r="A105">
        <v>104</v>
      </c>
      <c r="B105">
        <v>266</v>
      </c>
      <c r="C105" t="s">
        <v>2340</v>
      </c>
      <c r="D105" s="34">
        <v>43313</v>
      </c>
      <c r="E105" s="9"/>
      <c r="F105">
        <v>10</v>
      </c>
      <c r="G105" s="32">
        <v>0.05</v>
      </c>
      <c r="H105" s="4">
        <f t="shared" si="5"/>
        <v>0</v>
      </c>
      <c r="I105" s="4">
        <f t="shared" si="6"/>
        <v>0</v>
      </c>
      <c r="J105" s="35">
        <f t="shared" ca="1" si="7"/>
        <v>7.4356164383561643</v>
      </c>
      <c r="K105" s="4">
        <f t="shared" ca="1" si="8"/>
        <v>0</v>
      </c>
      <c r="L105" s="8">
        <f t="shared" ca="1" si="9"/>
        <v>0</v>
      </c>
    </row>
    <row r="106" spans="1:12" x14ac:dyDescent="0.25">
      <c r="A106">
        <v>105</v>
      </c>
      <c r="B106">
        <v>258</v>
      </c>
      <c r="C106" t="s">
        <v>2341</v>
      </c>
      <c r="D106" s="34">
        <v>43313</v>
      </c>
      <c r="E106" s="9">
        <v>3489065</v>
      </c>
      <c r="F106">
        <v>10</v>
      </c>
      <c r="G106" s="32">
        <v>0.1</v>
      </c>
      <c r="H106" s="4">
        <f t="shared" si="5"/>
        <v>348906.5</v>
      </c>
      <c r="I106" s="4">
        <f t="shared" si="6"/>
        <v>314015.84999999998</v>
      </c>
      <c r="J106" s="35">
        <f t="shared" ca="1" si="7"/>
        <v>7.4356164383561643</v>
      </c>
      <c r="K106" s="4">
        <f t="shared" ca="1" si="8"/>
        <v>2334901.4161643833</v>
      </c>
      <c r="L106" s="8">
        <f t="shared" ca="1" si="9"/>
        <v>1154163.5838356167</v>
      </c>
    </row>
    <row r="107" spans="1:12" x14ac:dyDescent="0.25">
      <c r="A107">
        <v>106</v>
      </c>
      <c r="B107">
        <v>260</v>
      </c>
      <c r="C107" t="s">
        <v>2342</v>
      </c>
      <c r="D107" s="34">
        <v>43313</v>
      </c>
      <c r="E107" s="9">
        <v>1164225</v>
      </c>
      <c r="F107">
        <v>10</v>
      </c>
      <c r="G107" s="32">
        <v>0.1</v>
      </c>
      <c r="H107" s="4">
        <f t="shared" si="5"/>
        <v>116422.5</v>
      </c>
      <c r="I107" s="4">
        <f t="shared" si="6"/>
        <v>104780.25</v>
      </c>
      <c r="J107" s="35">
        <f t="shared" ca="1" si="7"/>
        <v>7.4356164383561643</v>
      </c>
      <c r="K107" s="4">
        <f t="shared" ca="1" si="8"/>
        <v>779105.74931506847</v>
      </c>
      <c r="L107" s="8">
        <f t="shared" ca="1" si="9"/>
        <v>385119.25068493153</v>
      </c>
    </row>
    <row r="108" spans="1:12" x14ac:dyDescent="0.25">
      <c r="A108">
        <v>107</v>
      </c>
      <c r="B108">
        <v>259</v>
      </c>
      <c r="C108" t="s">
        <v>2343</v>
      </c>
      <c r="D108" s="34">
        <v>43313</v>
      </c>
      <c r="E108" s="9">
        <v>126350000</v>
      </c>
      <c r="F108">
        <v>20</v>
      </c>
      <c r="G108" s="32">
        <v>0.1</v>
      </c>
      <c r="H108" s="4">
        <f t="shared" si="5"/>
        <v>12635000</v>
      </c>
      <c r="I108" s="4">
        <f t="shared" si="6"/>
        <v>5685750</v>
      </c>
      <c r="J108" s="35">
        <f t="shared" ca="1" si="7"/>
        <v>7.4356164383561643</v>
      </c>
      <c r="K108" s="4">
        <f t="shared" ca="1" si="8"/>
        <v>42277056.16438356</v>
      </c>
      <c r="L108" s="8">
        <f t="shared" ca="1" si="9"/>
        <v>84072943.83561644</v>
      </c>
    </row>
    <row r="109" spans="1:12" x14ac:dyDescent="0.25">
      <c r="A109">
        <v>108</v>
      </c>
      <c r="B109">
        <v>261</v>
      </c>
      <c r="C109" t="s">
        <v>2344</v>
      </c>
      <c r="D109" s="34">
        <v>43313</v>
      </c>
      <c r="E109" s="9"/>
      <c r="F109">
        <v>8</v>
      </c>
      <c r="G109" s="33">
        <v>0.1</v>
      </c>
      <c r="H109" s="4">
        <f t="shared" si="5"/>
        <v>0</v>
      </c>
      <c r="I109" s="4">
        <f t="shared" si="6"/>
        <v>0</v>
      </c>
      <c r="J109" s="35">
        <f t="shared" ca="1" si="7"/>
        <v>7.4356164383561643</v>
      </c>
      <c r="K109" s="4">
        <f t="shared" ca="1" si="8"/>
        <v>0</v>
      </c>
      <c r="L109" s="8">
        <f t="shared" ca="1" si="9"/>
        <v>0</v>
      </c>
    </row>
    <row r="110" spans="1:12" x14ac:dyDescent="0.25">
      <c r="A110">
        <v>109</v>
      </c>
      <c r="B110">
        <v>262</v>
      </c>
      <c r="C110" t="s">
        <v>2345</v>
      </c>
      <c r="D110" s="34">
        <v>43313</v>
      </c>
      <c r="E110" s="9"/>
      <c r="F110">
        <v>8</v>
      </c>
      <c r="G110" s="33">
        <v>0.1</v>
      </c>
      <c r="H110" s="4">
        <f t="shared" si="5"/>
        <v>0</v>
      </c>
      <c r="I110" s="4">
        <f t="shared" si="6"/>
        <v>0</v>
      </c>
      <c r="J110" s="35">
        <f t="shared" ca="1" si="7"/>
        <v>7.4356164383561643</v>
      </c>
      <c r="K110" s="4">
        <f t="shared" ca="1" si="8"/>
        <v>0</v>
      </c>
      <c r="L110" s="8">
        <f t="shared" ca="1" si="9"/>
        <v>0</v>
      </c>
    </row>
    <row r="111" spans="1:12" x14ac:dyDescent="0.25">
      <c r="A111">
        <v>110</v>
      </c>
      <c r="B111">
        <v>263</v>
      </c>
      <c r="C111" t="s">
        <v>2346</v>
      </c>
      <c r="D111" s="34">
        <v>43313</v>
      </c>
      <c r="E111" s="9"/>
      <c r="F111">
        <v>8</v>
      </c>
      <c r="G111" s="33">
        <v>0.1</v>
      </c>
      <c r="H111" s="4">
        <f t="shared" si="5"/>
        <v>0</v>
      </c>
      <c r="I111" s="4">
        <f t="shared" si="6"/>
        <v>0</v>
      </c>
      <c r="J111" s="35">
        <f t="shared" ca="1" si="7"/>
        <v>7.4356164383561643</v>
      </c>
      <c r="K111" s="4">
        <f t="shared" ca="1" si="8"/>
        <v>0</v>
      </c>
      <c r="L111" s="8">
        <f t="shared" ca="1" si="9"/>
        <v>0</v>
      </c>
    </row>
    <row r="112" spans="1:12" x14ac:dyDescent="0.25">
      <c r="A112">
        <v>111</v>
      </c>
      <c r="B112">
        <v>264</v>
      </c>
      <c r="C112" t="s">
        <v>2347</v>
      </c>
      <c r="D112" s="34">
        <v>43313</v>
      </c>
      <c r="E112" s="9"/>
      <c r="F112">
        <v>8</v>
      </c>
      <c r="G112" s="33">
        <v>0.1</v>
      </c>
      <c r="H112" s="4">
        <f t="shared" si="5"/>
        <v>0</v>
      </c>
      <c r="I112" s="4">
        <f t="shared" si="6"/>
        <v>0</v>
      </c>
      <c r="J112" s="35">
        <f t="shared" ca="1" si="7"/>
        <v>7.4356164383561643</v>
      </c>
      <c r="K112" s="4">
        <f t="shared" ca="1" si="8"/>
        <v>0</v>
      </c>
      <c r="L112" s="8">
        <f t="shared" ca="1" si="9"/>
        <v>0</v>
      </c>
    </row>
    <row r="113" spans="1:12" x14ac:dyDescent="0.25">
      <c r="A113">
        <v>112</v>
      </c>
      <c r="B113">
        <v>265</v>
      </c>
      <c r="C113" t="s">
        <v>2348</v>
      </c>
      <c r="D113" s="34">
        <v>43313</v>
      </c>
      <c r="E113" s="9"/>
      <c r="F113">
        <v>10</v>
      </c>
      <c r="G113" s="32">
        <v>0.1</v>
      </c>
      <c r="H113" s="4">
        <f t="shared" si="5"/>
        <v>0</v>
      </c>
      <c r="I113" s="4">
        <f t="shared" si="6"/>
        <v>0</v>
      </c>
      <c r="J113" s="35">
        <f t="shared" ca="1" si="7"/>
        <v>7.4356164383561643</v>
      </c>
      <c r="K113" s="4">
        <f t="shared" ca="1" si="8"/>
        <v>0</v>
      </c>
      <c r="L113" s="8">
        <f t="shared" ca="1" si="9"/>
        <v>0</v>
      </c>
    </row>
    <row r="114" spans="1:12" x14ac:dyDescent="0.25">
      <c r="A114">
        <v>113</v>
      </c>
      <c r="B114">
        <v>267</v>
      </c>
      <c r="C114" t="s">
        <v>2349</v>
      </c>
      <c r="D114" s="34">
        <v>43313</v>
      </c>
      <c r="E114" s="9">
        <v>3158750</v>
      </c>
      <c r="F114">
        <v>8</v>
      </c>
      <c r="G114" s="33">
        <v>0.1</v>
      </c>
      <c r="H114" s="4">
        <f t="shared" si="5"/>
        <v>315875</v>
      </c>
      <c r="I114" s="4">
        <f t="shared" si="6"/>
        <v>355359.375</v>
      </c>
      <c r="J114" s="35">
        <f t="shared" ca="1" si="7"/>
        <v>7.4356164383561643</v>
      </c>
      <c r="K114" s="4">
        <f t="shared" ca="1" si="8"/>
        <v>2642316.0102739725</v>
      </c>
      <c r="L114" s="8">
        <f t="shared" ca="1" si="9"/>
        <v>516433.98972602747</v>
      </c>
    </row>
    <row r="115" spans="1:12" x14ac:dyDescent="0.25">
      <c r="A115">
        <v>114</v>
      </c>
      <c r="B115">
        <v>268</v>
      </c>
      <c r="C115" t="s">
        <v>2350</v>
      </c>
      <c r="D115" s="34">
        <v>43313</v>
      </c>
      <c r="E115" s="9">
        <v>4963750</v>
      </c>
      <c r="F115">
        <v>20</v>
      </c>
      <c r="G115" s="32">
        <v>0.1</v>
      </c>
      <c r="H115" s="4">
        <f t="shared" si="5"/>
        <v>496375</v>
      </c>
      <c r="I115" s="4">
        <f t="shared" si="6"/>
        <v>223368.75</v>
      </c>
      <c r="J115" s="35">
        <f t="shared" ca="1" si="7"/>
        <v>7.4356164383561643</v>
      </c>
      <c r="K115" s="4">
        <f t="shared" ca="1" si="8"/>
        <v>1660884.3493150685</v>
      </c>
      <c r="L115" s="8">
        <f t="shared" ca="1" si="9"/>
        <v>3302865.6506849313</v>
      </c>
    </row>
    <row r="116" spans="1:12" x14ac:dyDescent="0.25">
      <c r="A116">
        <v>115</v>
      </c>
      <c r="B116">
        <v>269</v>
      </c>
      <c r="C116" t="s">
        <v>2351</v>
      </c>
      <c r="D116" s="34">
        <v>43313</v>
      </c>
      <c r="E116" s="9">
        <v>4963750</v>
      </c>
      <c r="F116">
        <v>20</v>
      </c>
      <c r="G116" s="32">
        <v>0.1</v>
      </c>
      <c r="H116" s="4">
        <f t="shared" si="5"/>
        <v>496375</v>
      </c>
      <c r="I116" s="4">
        <f t="shared" si="6"/>
        <v>223368.75</v>
      </c>
      <c r="J116" s="35">
        <f t="shared" ca="1" si="7"/>
        <v>7.4356164383561643</v>
      </c>
      <c r="K116" s="4">
        <f t="shared" ca="1" si="8"/>
        <v>1660884.3493150685</v>
      </c>
      <c r="L116" s="8">
        <f t="shared" ca="1" si="9"/>
        <v>3302865.6506849313</v>
      </c>
    </row>
    <row r="117" spans="1:12" x14ac:dyDescent="0.25">
      <c r="A117">
        <v>116</v>
      </c>
      <c r="B117">
        <v>270</v>
      </c>
      <c r="C117" t="s">
        <v>2352</v>
      </c>
      <c r="D117" s="34">
        <v>43313</v>
      </c>
      <c r="E117" s="9">
        <v>961100.22749999992</v>
      </c>
      <c r="F117">
        <v>8</v>
      </c>
      <c r="G117" s="33">
        <v>0.1</v>
      </c>
      <c r="H117" s="4">
        <f t="shared" si="5"/>
        <v>96110.022750000004</v>
      </c>
      <c r="I117" s="4">
        <f t="shared" si="6"/>
        <v>108123.77559374999</v>
      </c>
      <c r="J117" s="35">
        <f t="shared" ca="1" si="7"/>
        <v>7.4356164383561643</v>
      </c>
      <c r="K117" s="4">
        <f t="shared" ca="1" si="8"/>
        <v>803966.92318202043</v>
      </c>
      <c r="L117" s="8">
        <f t="shared" ca="1" si="9"/>
        <v>157133.30431797949</v>
      </c>
    </row>
    <row r="118" spans="1:12" x14ac:dyDescent="0.25">
      <c r="A118">
        <v>117</v>
      </c>
      <c r="B118">
        <v>275</v>
      </c>
      <c r="C118" t="s">
        <v>2353</v>
      </c>
      <c r="D118" s="34">
        <v>43313</v>
      </c>
      <c r="E118" s="9">
        <v>3158750</v>
      </c>
      <c r="F118">
        <v>10</v>
      </c>
      <c r="G118" s="32">
        <v>0.1</v>
      </c>
      <c r="H118" s="4">
        <f t="shared" si="5"/>
        <v>315875</v>
      </c>
      <c r="I118" s="4">
        <f t="shared" si="6"/>
        <v>284287.5</v>
      </c>
      <c r="J118" s="35">
        <f t="shared" ca="1" si="7"/>
        <v>7.4356164383561643</v>
      </c>
      <c r="K118" s="4">
        <f t="shared" ca="1" si="8"/>
        <v>2113852.8082191781</v>
      </c>
      <c r="L118" s="8">
        <f t="shared" ca="1" si="9"/>
        <v>1044897.1917808219</v>
      </c>
    </row>
    <row r="119" spans="1:12" x14ac:dyDescent="0.25">
      <c r="A119">
        <v>118</v>
      </c>
      <c r="C119" t="s">
        <v>2354</v>
      </c>
      <c r="D119" s="34">
        <v>43313</v>
      </c>
      <c r="E119" s="9">
        <v>7039500</v>
      </c>
      <c r="F119">
        <v>10</v>
      </c>
      <c r="G119" s="32">
        <v>0.1</v>
      </c>
      <c r="H119" s="4">
        <f t="shared" si="5"/>
        <v>703950</v>
      </c>
      <c r="I119" s="4">
        <f t="shared" si="6"/>
        <v>633555</v>
      </c>
      <c r="J119" s="35">
        <f t="shared" ca="1" si="7"/>
        <v>7.4356164383561643</v>
      </c>
      <c r="K119" s="4">
        <f t="shared" ca="1" si="8"/>
        <v>4710871.9726027399</v>
      </c>
      <c r="L119" s="8">
        <f t="shared" ca="1" si="9"/>
        <v>2328628.0273972601</v>
      </c>
    </row>
    <row r="120" spans="1:12" x14ac:dyDescent="0.25">
      <c r="A120">
        <v>119</v>
      </c>
      <c r="B120">
        <v>271</v>
      </c>
      <c r="C120" t="s">
        <v>2354</v>
      </c>
      <c r="D120" s="34">
        <v>43313</v>
      </c>
      <c r="E120" s="9">
        <v>7039500</v>
      </c>
      <c r="F120">
        <v>10</v>
      </c>
      <c r="G120" s="32">
        <v>0.1</v>
      </c>
      <c r="H120" s="4">
        <f t="shared" si="5"/>
        <v>703950</v>
      </c>
      <c r="I120" s="4">
        <f t="shared" si="6"/>
        <v>633555</v>
      </c>
      <c r="J120" s="35">
        <f t="shared" ca="1" si="7"/>
        <v>7.4356164383561643</v>
      </c>
      <c r="K120" s="4">
        <f t="shared" ca="1" si="8"/>
        <v>4710871.9726027399</v>
      </c>
      <c r="L120" s="8">
        <f t="shared" ca="1" si="9"/>
        <v>2328628.0273972601</v>
      </c>
    </row>
    <row r="121" spans="1:12" x14ac:dyDescent="0.25">
      <c r="A121">
        <v>120</v>
      </c>
      <c r="B121">
        <v>272</v>
      </c>
      <c r="C121" t="s">
        <v>2354</v>
      </c>
      <c r="D121" s="34">
        <v>43313</v>
      </c>
      <c r="E121" s="9">
        <v>7039500</v>
      </c>
      <c r="F121">
        <v>10</v>
      </c>
      <c r="G121" s="32">
        <v>0.1</v>
      </c>
      <c r="H121" s="4">
        <f t="shared" si="5"/>
        <v>703950</v>
      </c>
      <c r="I121" s="4">
        <f t="shared" si="6"/>
        <v>633555</v>
      </c>
      <c r="J121" s="35">
        <f t="shared" ca="1" si="7"/>
        <v>7.4356164383561643</v>
      </c>
      <c r="K121" s="4">
        <f t="shared" ca="1" si="8"/>
        <v>4710871.9726027399</v>
      </c>
      <c r="L121" s="8">
        <f t="shared" ca="1" si="9"/>
        <v>2328628.0273972601</v>
      </c>
    </row>
    <row r="122" spans="1:12" x14ac:dyDescent="0.25">
      <c r="A122">
        <v>121</v>
      </c>
      <c r="B122">
        <v>273</v>
      </c>
      <c r="C122" t="s">
        <v>2298</v>
      </c>
      <c r="D122" s="34">
        <v>43313</v>
      </c>
      <c r="E122" s="9">
        <v>2707500</v>
      </c>
      <c r="F122">
        <v>10</v>
      </c>
      <c r="G122" s="32">
        <v>0.05</v>
      </c>
      <c r="H122" s="4">
        <f t="shared" si="5"/>
        <v>135375</v>
      </c>
      <c r="I122" s="4">
        <f t="shared" si="6"/>
        <v>257212.5</v>
      </c>
      <c r="J122" s="35">
        <f t="shared" ca="1" si="7"/>
        <v>7.4356164383561643</v>
      </c>
      <c r="K122" s="4">
        <f t="shared" ca="1" si="8"/>
        <v>1912533.493150685</v>
      </c>
      <c r="L122" s="8">
        <f t="shared" ca="1" si="9"/>
        <v>794966.50684931502</v>
      </c>
    </row>
    <row r="123" spans="1:12" x14ac:dyDescent="0.25">
      <c r="A123">
        <v>122</v>
      </c>
      <c r="B123">
        <v>274</v>
      </c>
      <c r="C123" t="s">
        <v>2355</v>
      </c>
      <c r="D123" s="34">
        <v>43313</v>
      </c>
      <c r="E123" s="9">
        <v>1805000</v>
      </c>
      <c r="F123">
        <v>8</v>
      </c>
      <c r="G123" s="33">
        <v>0.05</v>
      </c>
      <c r="H123" s="4">
        <f t="shared" si="5"/>
        <v>90250</v>
      </c>
      <c r="I123" s="4">
        <f t="shared" si="6"/>
        <v>214343.75</v>
      </c>
      <c r="J123" s="35">
        <f t="shared" ca="1" si="7"/>
        <v>7.4356164383561643</v>
      </c>
      <c r="K123" s="4">
        <f t="shared" ca="1" si="8"/>
        <v>1593777.9109589041</v>
      </c>
      <c r="L123" s="8">
        <f t="shared" ca="1" si="9"/>
        <v>211222.08904109593</v>
      </c>
    </row>
    <row r="124" spans="1:12" x14ac:dyDescent="0.25">
      <c r="A124">
        <v>123</v>
      </c>
      <c r="B124">
        <v>276</v>
      </c>
      <c r="C124" t="s">
        <v>2356</v>
      </c>
      <c r="D124" s="34">
        <v>43313</v>
      </c>
      <c r="E124" s="9">
        <v>7220000</v>
      </c>
      <c r="F124">
        <v>8</v>
      </c>
      <c r="G124" s="33">
        <v>0.1</v>
      </c>
      <c r="H124" s="4">
        <f t="shared" si="5"/>
        <v>722000</v>
      </c>
      <c r="I124" s="4">
        <f t="shared" si="6"/>
        <v>812250</v>
      </c>
      <c r="J124" s="35">
        <f t="shared" ca="1" si="7"/>
        <v>7.4356164383561643</v>
      </c>
      <c r="K124" s="4">
        <f t="shared" ca="1" si="8"/>
        <v>6039579.4520547949</v>
      </c>
      <c r="L124" s="8">
        <f t="shared" ca="1" si="9"/>
        <v>1180420.5479452051</v>
      </c>
    </row>
    <row r="125" spans="1:12" x14ac:dyDescent="0.25">
      <c r="A125">
        <v>124</v>
      </c>
      <c r="B125">
        <v>277</v>
      </c>
      <c r="C125" t="s">
        <v>1100</v>
      </c>
      <c r="D125" s="34">
        <v>43313</v>
      </c>
      <c r="E125" s="9">
        <v>1805000</v>
      </c>
      <c r="F125">
        <v>10</v>
      </c>
      <c r="G125" s="32">
        <v>0.05</v>
      </c>
      <c r="H125" s="4">
        <f t="shared" si="5"/>
        <v>90250</v>
      </c>
      <c r="I125" s="4">
        <f t="shared" si="6"/>
        <v>171475</v>
      </c>
      <c r="J125" s="35">
        <f t="shared" ca="1" si="7"/>
        <v>7.4356164383561643</v>
      </c>
      <c r="K125" s="4">
        <f t="shared" ca="1" si="8"/>
        <v>1275022.3287671232</v>
      </c>
      <c r="L125" s="8">
        <f t="shared" ca="1" si="9"/>
        <v>529977.67123287683</v>
      </c>
    </row>
    <row r="126" spans="1:12" x14ac:dyDescent="0.25">
      <c r="A126">
        <v>125</v>
      </c>
      <c r="B126">
        <v>278</v>
      </c>
      <c r="C126" t="s">
        <v>2357</v>
      </c>
      <c r="D126" s="34">
        <v>43313</v>
      </c>
      <c r="E126" s="9">
        <v>7877922.5</v>
      </c>
      <c r="F126">
        <v>8</v>
      </c>
      <c r="G126" s="33">
        <v>0</v>
      </c>
      <c r="H126" s="4">
        <f t="shared" si="5"/>
        <v>0</v>
      </c>
      <c r="I126" s="4">
        <f t="shared" si="6"/>
        <v>984740.3125</v>
      </c>
      <c r="J126" s="35">
        <f t="shared" ca="1" si="7"/>
        <v>7.4356164383561643</v>
      </c>
      <c r="K126" s="4">
        <f t="shared" ca="1" si="8"/>
        <v>7322151.2551369863</v>
      </c>
      <c r="L126" s="8">
        <f t="shared" ca="1" si="9"/>
        <v>555771.24486301374</v>
      </c>
    </row>
    <row r="127" spans="1:12" x14ac:dyDescent="0.25">
      <c r="A127">
        <v>126</v>
      </c>
      <c r="B127">
        <v>279</v>
      </c>
      <c r="C127" t="s">
        <v>2357</v>
      </c>
      <c r="D127" s="34">
        <v>43313</v>
      </c>
      <c r="E127" s="9">
        <v>7877922.5</v>
      </c>
      <c r="F127">
        <v>8</v>
      </c>
      <c r="G127" s="33">
        <v>0</v>
      </c>
      <c r="H127" s="4">
        <f t="shared" si="5"/>
        <v>0</v>
      </c>
      <c r="I127" s="4">
        <f t="shared" si="6"/>
        <v>984740.3125</v>
      </c>
      <c r="J127" s="35">
        <f t="shared" ca="1" si="7"/>
        <v>7.4356164383561643</v>
      </c>
      <c r="K127" s="4">
        <f t="shared" ca="1" si="8"/>
        <v>7322151.2551369863</v>
      </c>
      <c r="L127" s="8">
        <f t="shared" ca="1" si="9"/>
        <v>555771.24486301374</v>
      </c>
    </row>
    <row r="128" spans="1:12" x14ac:dyDescent="0.25">
      <c r="A128">
        <v>127</v>
      </c>
      <c r="B128">
        <f t="shared" ref="B128" si="10">B129</f>
        <v>281</v>
      </c>
      <c r="C128" t="s">
        <v>2357</v>
      </c>
      <c r="D128" s="34">
        <v>43313</v>
      </c>
      <c r="E128" s="9">
        <v>7877922.5</v>
      </c>
      <c r="F128">
        <v>8</v>
      </c>
      <c r="G128" s="33">
        <v>0</v>
      </c>
      <c r="H128" s="4">
        <f t="shared" si="5"/>
        <v>0</v>
      </c>
      <c r="I128" s="4">
        <f t="shared" si="6"/>
        <v>984740.3125</v>
      </c>
      <c r="J128" s="35">
        <f t="shared" ca="1" si="7"/>
        <v>7.4356164383561643</v>
      </c>
      <c r="K128" s="4">
        <f t="shared" ca="1" si="8"/>
        <v>7322151.2551369863</v>
      </c>
      <c r="L128" s="8">
        <f t="shared" ca="1" si="9"/>
        <v>555771.24486301374</v>
      </c>
    </row>
    <row r="129" spans="1:12" x14ac:dyDescent="0.25">
      <c r="A129">
        <v>128</v>
      </c>
      <c r="B129">
        <v>281</v>
      </c>
      <c r="C129" t="s">
        <v>2358</v>
      </c>
      <c r="D129" s="34">
        <v>43313</v>
      </c>
      <c r="E129" s="9">
        <v>7877922.5</v>
      </c>
      <c r="F129">
        <v>10</v>
      </c>
      <c r="G129" s="32">
        <v>0.1</v>
      </c>
      <c r="H129" s="4">
        <f t="shared" si="5"/>
        <v>787792.25</v>
      </c>
      <c r="I129" s="4">
        <f t="shared" si="6"/>
        <v>709013.02500000002</v>
      </c>
      <c r="J129" s="35">
        <f t="shared" ca="1" si="7"/>
        <v>7.4356164383561643</v>
      </c>
      <c r="K129" s="4">
        <f t="shared" ca="1" si="8"/>
        <v>5271948.9036986306</v>
      </c>
      <c r="L129" s="8">
        <f t="shared" ca="1" si="9"/>
        <v>2605973.5963013694</v>
      </c>
    </row>
    <row r="130" spans="1:12" x14ac:dyDescent="0.25">
      <c r="A130">
        <v>129</v>
      </c>
      <c r="B130">
        <v>282</v>
      </c>
      <c r="C130" t="s">
        <v>2359</v>
      </c>
      <c r="D130" s="34">
        <v>43313</v>
      </c>
      <c r="E130" s="9">
        <v>7877922.5</v>
      </c>
      <c r="F130">
        <v>10</v>
      </c>
      <c r="G130" s="32">
        <v>0.1</v>
      </c>
      <c r="H130" s="4">
        <f t="shared" si="5"/>
        <v>787792.25</v>
      </c>
      <c r="I130" s="4">
        <f t="shared" si="6"/>
        <v>709013.02500000002</v>
      </c>
      <c r="J130" s="35">
        <f t="shared" ca="1" si="7"/>
        <v>7.4356164383561643</v>
      </c>
      <c r="K130" s="4">
        <f t="shared" ca="1" si="8"/>
        <v>5271948.9036986306</v>
      </c>
      <c r="L130" s="8">
        <f t="shared" ca="1" si="9"/>
        <v>2605973.5963013694</v>
      </c>
    </row>
    <row r="131" spans="1:12" x14ac:dyDescent="0.25">
      <c r="E131" s="9"/>
      <c r="I131" s="8">
        <f>SUM(I2:I130)</f>
        <v>143925892.85856879</v>
      </c>
      <c r="L131" s="8">
        <f ca="1">SUM(L2:L130)</f>
        <v>1067514325.6107382</v>
      </c>
    </row>
    <row r="132" spans="1:12" x14ac:dyDescent="0.25">
      <c r="E132" s="9"/>
      <c r="I132" s="8">
        <f>+I131/12</f>
        <v>11993824.404880732</v>
      </c>
    </row>
    <row r="133" spans="1:12" x14ac:dyDescent="0.25">
      <c r="E133" s="9"/>
      <c r="I133">
        <v>31080000</v>
      </c>
    </row>
    <row r="134" spans="1:12" x14ac:dyDescent="0.25">
      <c r="E134" s="9"/>
      <c r="I134" s="41">
        <f>+I132/I133</f>
        <v>0.38590168612872366</v>
      </c>
    </row>
    <row r="135" spans="1:12" x14ac:dyDescent="0.25">
      <c r="E135" s="9"/>
    </row>
    <row r="136" spans="1:12" x14ac:dyDescent="0.25">
      <c r="E136" s="9"/>
    </row>
    <row r="137" spans="1:12" x14ac:dyDescent="0.25">
      <c r="E137" s="9"/>
    </row>
    <row r="138" spans="1:12" x14ac:dyDescent="0.25">
      <c r="E138" s="9"/>
    </row>
    <row r="139" spans="1:12" x14ac:dyDescent="0.25">
      <c r="E139" s="9"/>
    </row>
    <row r="140" spans="1:12" x14ac:dyDescent="0.25">
      <c r="E140" s="9"/>
    </row>
  </sheetData>
  <autoFilter ref="B1:L130" xr:uid="{8C48ACB2-4D9F-4948-9EDB-03064D31E7BE}"/>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49934-0E06-4E8E-BE04-CE1053EB3ECB}">
  <dimension ref="A1:I13"/>
  <sheetViews>
    <sheetView workbookViewId="0">
      <selection activeCell="B2" sqref="B2"/>
    </sheetView>
  </sheetViews>
  <sheetFormatPr baseColWidth="10" defaultRowHeight="15" x14ac:dyDescent="0.25"/>
  <cols>
    <col min="1" max="1" width="17.28515625" bestFit="1" customWidth="1"/>
    <col min="2" max="2" width="15.28515625" bestFit="1" customWidth="1"/>
    <col min="4" max="4" width="17.42578125" bestFit="1" customWidth="1"/>
    <col min="8" max="8" width="13.85546875" customWidth="1"/>
    <col min="9" max="9" width="69.140625" customWidth="1"/>
  </cols>
  <sheetData>
    <row r="1" spans="1:9" x14ac:dyDescent="0.25">
      <c r="A1" s="21" t="s">
        <v>2243</v>
      </c>
      <c r="B1" s="21" t="s">
        <v>2244</v>
      </c>
      <c r="C1" s="21" t="s">
        <v>2245</v>
      </c>
      <c r="D1" s="51" t="str">
        <f>IF(C6&lt;0.2,"Bajo-bajo (Tipo I)",
IF(C6&lt;0.4,"Bajo-medio (Tipo II)",
IF(C6&lt;0.6,"Medio-medio (Tipo III)",
IF(C6&lt;0.8,"Alto-medio (Tipo IV)","Alto-alto (Tipo V)"))))</f>
        <v>Bajo-bajo (Tipo I)</v>
      </c>
      <c r="F1" s="30" t="s">
        <v>2256</v>
      </c>
      <c r="G1" s="30" t="s">
        <v>2257</v>
      </c>
      <c r="H1" s="30" t="s">
        <v>2258</v>
      </c>
      <c r="I1" s="30" t="s">
        <v>2259</v>
      </c>
    </row>
    <row r="2" spans="1:9" x14ac:dyDescent="0.25">
      <c r="A2" t="s">
        <v>2238</v>
      </c>
      <c r="B2" s="22">
        <v>400</v>
      </c>
      <c r="C2" s="5">
        <f>IF(B2&lt;500,0,IF(B2&lt;=1499,0.25,IF(B2&lt;=5000,0.5,IF(B2&lt;=10000,0.75,1))))</f>
        <v>0</v>
      </c>
      <c r="D2" s="51"/>
      <c r="F2" s="31" t="s">
        <v>2260</v>
      </c>
      <c r="G2" s="28" t="s">
        <v>2261</v>
      </c>
      <c r="H2" s="29" t="s">
        <v>2262</v>
      </c>
      <c r="I2" s="28" t="s">
        <v>2276</v>
      </c>
    </row>
    <row r="3" spans="1:9" x14ac:dyDescent="0.25">
      <c r="A3" t="s">
        <v>2239</v>
      </c>
      <c r="B3" s="22">
        <v>100</v>
      </c>
      <c r="C3" s="5">
        <f>IF(B3&lt;200,0,IF(B3&lt;=999,0.25,IF(B3&lt;=5000,0.5,IF(B3&lt;=10000,0.75,1))))</f>
        <v>0</v>
      </c>
      <c r="D3" s="51"/>
      <c r="F3" s="31" t="s">
        <v>2263</v>
      </c>
      <c r="G3" s="28" t="s">
        <v>2264</v>
      </c>
      <c r="H3" s="29" t="s">
        <v>2265</v>
      </c>
      <c r="I3" s="28" t="s">
        <v>2278</v>
      </c>
    </row>
    <row r="4" spans="1:9" x14ac:dyDescent="0.25">
      <c r="A4" t="s">
        <v>2240</v>
      </c>
      <c r="B4" s="22">
        <v>150</v>
      </c>
      <c r="C4" s="5">
        <f>IF(B4&lt;10,0,IF(B4&lt;=49,0.25,IF(B4&lt;=150,0.5,IF(B4&lt;=500,0.75,1))))</f>
        <v>0.5</v>
      </c>
      <c r="D4" s="51"/>
      <c r="F4" s="31" t="s">
        <v>2266</v>
      </c>
      <c r="G4" s="28" t="s">
        <v>2267</v>
      </c>
      <c r="H4" s="29" t="s">
        <v>2268</v>
      </c>
      <c r="I4" s="28" t="s">
        <v>2279</v>
      </c>
    </row>
    <row r="5" spans="1:9" x14ac:dyDescent="0.25">
      <c r="A5" t="s">
        <v>2241</v>
      </c>
      <c r="B5" s="22">
        <v>1800</v>
      </c>
      <c r="C5" s="5">
        <f>IF(B5&lt;100,0,IF(B5&lt;=499,0.25,IF(B5&lt;=1499,0.5,IF(B5&lt;=5000,0.75,1))))</f>
        <v>0.75</v>
      </c>
      <c r="D5" s="51"/>
      <c r="F5" s="31" t="s">
        <v>2269</v>
      </c>
      <c r="G5" s="28" t="s">
        <v>2270</v>
      </c>
      <c r="H5" s="29" t="s">
        <v>2271</v>
      </c>
      <c r="I5" s="28" t="s">
        <v>2280</v>
      </c>
    </row>
    <row r="6" spans="1:9" x14ac:dyDescent="0.25">
      <c r="A6" s="24" t="s">
        <v>2242</v>
      </c>
      <c r="B6" s="25"/>
      <c r="C6" s="25">
        <f>0.4*C2 + 0.3*C3 + 0.2*C4 + 0.1*C5</f>
        <v>0.17500000000000002</v>
      </c>
      <c r="D6" s="51"/>
      <c r="F6" s="31" t="s">
        <v>2272</v>
      </c>
      <c r="G6" s="28" t="s">
        <v>2273</v>
      </c>
      <c r="H6" s="29" t="s">
        <v>2274</v>
      </c>
      <c r="I6" s="28" t="s">
        <v>2281</v>
      </c>
    </row>
    <row r="7" spans="1:9" x14ac:dyDescent="0.25">
      <c r="B7" s="5"/>
      <c r="C7" s="5"/>
    </row>
    <row r="8" spans="1:9" x14ac:dyDescent="0.25">
      <c r="E8" s="27"/>
      <c r="F8" s="27"/>
      <c r="G8" s="27"/>
      <c r="H8" s="27"/>
    </row>
    <row r="9" spans="1:9" x14ac:dyDescent="0.25">
      <c r="E9" s="28"/>
      <c r="F9" s="28"/>
      <c r="G9" s="29"/>
      <c r="H9" s="28"/>
    </row>
    <row r="10" spans="1:9" x14ac:dyDescent="0.25">
      <c r="E10" s="28"/>
      <c r="F10" s="28"/>
      <c r="G10" s="29"/>
      <c r="H10" s="28"/>
    </row>
    <row r="11" spans="1:9" x14ac:dyDescent="0.25">
      <c r="E11" s="28"/>
      <c r="F11" s="28"/>
      <c r="G11" s="29"/>
      <c r="H11" s="28"/>
    </row>
    <row r="12" spans="1:9" x14ac:dyDescent="0.25">
      <c r="E12" s="28"/>
      <c r="F12" s="28"/>
      <c r="G12" s="29"/>
      <c r="H12" s="28"/>
    </row>
    <row r="13" spans="1:9" x14ac:dyDescent="0.25">
      <c r="E13" s="28"/>
      <c r="F13" s="28"/>
      <c r="G13" s="29"/>
      <c r="H13" s="28"/>
    </row>
  </sheetData>
  <mergeCells count="1">
    <mergeCell ref="D1:D6"/>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00827-4F2A-4060-AFD4-55CF99FE0378}">
  <dimension ref="B1:L41"/>
  <sheetViews>
    <sheetView topLeftCell="A15" workbookViewId="0">
      <selection activeCell="G9" sqref="G9"/>
    </sheetView>
  </sheetViews>
  <sheetFormatPr baseColWidth="10" defaultRowHeight="15" x14ac:dyDescent="0.25"/>
  <cols>
    <col min="3" max="3" width="40.7109375" bestFit="1" customWidth="1"/>
    <col min="4" max="4" width="19.7109375" bestFit="1" customWidth="1"/>
    <col min="5" max="5" width="14.5703125" bestFit="1" customWidth="1"/>
    <col min="6" max="6" width="15.28515625" bestFit="1" customWidth="1"/>
    <col min="7" max="7" width="14.28515625" bestFit="1" customWidth="1"/>
    <col min="8" max="8" width="29.85546875" bestFit="1" customWidth="1"/>
    <col min="9" max="9" width="25.28515625" bestFit="1" customWidth="1"/>
    <col min="10" max="10" width="16.140625" customWidth="1"/>
    <col min="11" max="11" width="12" bestFit="1" customWidth="1"/>
  </cols>
  <sheetData>
    <row r="1" spans="2:9" ht="15.75" thickBot="1" x14ac:dyDescent="0.3"/>
    <row r="2" spans="2:9" ht="15.75" thickBot="1" x14ac:dyDescent="0.3">
      <c r="B2" s="52"/>
      <c r="C2" s="53"/>
      <c r="D2" s="58" t="s">
        <v>2395</v>
      </c>
      <c r="E2" s="58"/>
      <c r="F2" s="58"/>
      <c r="G2" s="58"/>
      <c r="H2" s="58"/>
      <c r="I2" s="44" t="s">
        <v>2396</v>
      </c>
    </row>
    <row r="3" spans="2:9" ht="15.75" thickBot="1" x14ac:dyDescent="0.3">
      <c r="B3" s="54"/>
      <c r="C3" s="55"/>
      <c r="D3" s="59"/>
      <c r="E3" s="59"/>
      <c r="F3" s="59"/>
      <c r="G3" s="59"/>
      <c r="H3" s="59"/>
      <c r="I3" s="44" t="s">
        <v>2397</v>
      </c>
    </row>
    <row r="4" spans="2:9" ht="15.75" thickBot="1" x14ac:dyDescent="0.3">
      <c r="B4" s="56"/>
      <c r="C4" s="57"/>
      <c r="D4" s="60"/>
      <c r="E4" s="60"/>
      <c r="F4" s="60"/>
      <c r="G4" s="60"/>
      <c r="H4" s="60"/>
      <c r="I4" s="44" t="s">
        <v>2398</v>
      </c>
    </row>
    <row r="6" spans="2:9" x14ac:dyDescent="0.25">
      <c r="B6" s="45" t="s">
        <v>2370</v>
      </c>
      <c r="C6" s="45"/>
    </row>
    <row r="8" spans="2:9" x14ac:dyDescent="0.25">
      <c r="B8" s="45" t="s">
        <v>2204</v>
      </c>
      <c r="C8" s="45" t="s">
        <v>2399</v>
      </c>
    </row>
    <row r="9" spans="2:9" x14ac:dyDescent="0.25">
      <c r="G9" t="s">
        <v>2250</v>
      </c>
      <c r="H9" s="18">
        <v>100000</v>
      </c>
      <c r="I9" t="s">
        <v>2248</v>
      </c>
    </row>
    <row r="10" spans="2:9" x14ac:dyDescent="0.25">
      <c r="B10" t="s">
        <v>2253</v>
      </c>
      <c r="C10" s="18" t="s">
        <v>2284</v>
      </c>
      <c r="D10" t="s">
        <v>2275</v>
      </c>
      <c r="G10" t="s">
        <v>2251</v>
      </c>
      <c r="H10" s="18">
        <v>10</v>
      </c>
      <c r="I10" t="s">
        <v>2249</v>
      </c>
    </row>
    <row r="11" spans="2:9" x14ac:dyDescent="0.25">
      <c r="G11" t="s">
        <v>2252</v>
      </c>
      <c r="H11" s="13">
        <f>+(H9/H10)/3600</f>
        <v>2.7777777777777777</v>
      </c>
      <c r="I11" t="s">
        <v>2215</v>
      </c>
    </row>
    <row r="12" spans="2:9" x14ac:dyDescent="0.25">
      <c r="B12" s="5"/>
      <c r="C12" s="5"/>
      <c r="D12" s="5"/>
      <c r="E12" s="5"/>
      <c r="F12" s="5"/>
      <c r="G12" s="5"/>
      <c r="H12" s="5"/>
      <c r="I12" s="5"/>
    </row>
    <row r="13" spans="2:9" x14ac:dyDescent="0.25">
      <c r="B13" s="19" t="s">
        <v>0</v>
      </c>
      <c r="C13" s="19" t="s">
        <v>1</v>
      </c>
      <c r="D13" s="19" t="s">
        <v>2232</v>
      </c>
      <c r="E13" s="23" t="s">
        <v>2255</v>
      </c>
      <c r="F13" s="19" t="s">
        <v>2254</v>
      </c>
      <c r="G13" s="19" t="s">
        <v>2205</v>
      </c>
      <c r="H13" s="19" t="s">
        <v>2247</v>
      </c>
      <c r="I13" s="19" t="s">
        <v>2231</v>
      </c>
    </row>
    <row r="14" spans="2:9" x14ac:dyDescent="0.25">
      <c r="B14" t="s">
        <v>27</v>
      </c>
      <c r="C14" t="str">
        <f>+VLOOKUP(B14,TABLA_1_INV!A1:K43,3,FALSE)</f>
        <v>SODA EN ESCAMAS</v>
      </c>
      <c r="D14" s="20">
        <v>0</v>
      </c>
      <c r="E14" s="6" t="s">
        <v>146</v>
      </c>
      <c r="F14" s="13">
        <f>+(D14*$H$9)</f>
        <v>0</v>
      </c>
      <c r="G14" s="7">
        <v>4400</v>
      </c>
      <c r="H14" s="8">
        <f>+F14*G14</f>
        <v>0</v>
      </c>
      <c r="I14">
        <v>0</v>
      </c>
    </row>
    <row r="15" spans="2:9" x14ac:dyDescent="0.25">
      <c r="B15" t="s">
        <v>33</v>
      </c>
      <c r="C15" t="str">
        <f>+VLOOKUP(B15,TABLA_1_INV!A2:K44,3,FALSE)</f>
        <v>CLORURO FERRICO</v>
      </c>
      <c r="D15" s="11">
        <v>2.3809523809523812E-4</v>
      </c>
      <c r="E15" s="6" t="s">
        <v>146</v>
      </c>
      <c r="F15" s="13">
        <f>+(D15*$H$9)</f>
        <v>23.809523809523814</v>
      </c>
      <c r="G15" s="7">
        <v>3333</v>
      </c>
      <c r="H15" s="8">
        <f t="shared" ref="H15:H17" si="0">+F15*G15</f>
        <v>79357.14285714287</v>
      </c>
      <c r="I15">
        <v>0</v>
      </c>
    </row>
    <row r="16" spans="2:9" x14ac:dyDescent="0.25">
      <c r="B16" t="s">
        <v>35</v>
      </c>
      <c r="C16" t="str">
        <f>+VLOOKUP(B16,TABLA_1_INV!A3:K45,3,FALSE)</f>
        <v>PAM ANIONICO</v>
      </c>
      <c r="D16" s="11">
        <v>9.090909090909091E-6</v>
      </c>
      <c r="E16" s="6" t="s">
        <v>146</v>
      </c>
      <c r="F16" s="13">
        <f>+(D16*$H$9)</f>
        <v>0.90909090909090906</v>
      </c>
      <c r="G16" s="7">
        <v>23000</v>
      </c>
      <c r="H16" s="8">
        <f t="shared" si="0"/>
        <v>20909.090909090908</v>
      </c>
      <c r="I16">
        <v>0</v>
      </c>
    </row>
    <row r="17" spans="2:12" x14ac:dyDescent="0.25">
      <c r="B17" t="s">
        <v>29</v>
      </c>
      <c r="C17" t="str">
        <f>+VLOOKUP(B17,TABLA_1_INV!A4:K46,3,FALSE)</f>
        <v>HIPOCLORITO DE SODIO</v>
      </c>
      <c r="D17" s="11">
        <v>0</v>
      </c>
      <c r="E17" s="6" t="s">
        <v>146</v>
      </c>
      <c r="F17" s="13">
        <f>+(D17*$H$9)</f>
        <v>0</v>
      </c>
      <c r="G17" s="7">
        <v>1446</v>
      </c>
      <c r="H17" s="8">
        <f t="shared" si="0"/>
        <v>0</v>
      </c>
      <c r="I17">
        <v>0</v>
      </c>
    </row>
    <row r="18" spans="2:12" x14ac:dyDescent="0.25">
      <c r="E18" s="6"/>
      <c r="G18" s="7"/>
      <c r="H18" s="8"/>
    </row>
    <row r="19" spans="2:12" x14ac:dyDescent="0.25">
      <c r="H19" s="8"/>
    </row>
    <row r="20" spans="2:12" x14ac:dyDescent="0.25">
      <c r="B20" t="s">
        <v>110</v>
      </c>
      <c r="C20" t="str">
        <f>+VLOOKUP(B20,TABLA_1_INV!A6:K48,3,FALSE)</f>
        <v>SOLUCION DE LIMPIEZA ELECTRODOS</v>
      </c>
      <c r="D20" s="17">
        <f>1000/(31080000*6)</f>
        <v>5.3625053625053624E-6</v>
      </c>
      <c r="E20" s="6" t="s">
        <v>146</v>
      </c>
      <c r="F20" s="13"/>
      <c r="G20" s="4">
        <v>390</v>
      </c>
      <c r="H20" s="10">
        <f t="shared" ref="H20:H25" si="1">+(D20*G20)*$H$9</f>
        <v>209.13770913770915</v>
      </c>
      <c r="K20" s="17"/>
    </row>
    <row r="21" spans="2:12" x14ac:dyDescent="0.25">
      <c r="B21" t="s">
        <v>111</v>
      </c>
      <c r="C21" t="str">
        <f>+VLOOKUP(B21,TABLA_1_INV!A7:K49,3,FALSE)</f>
        <v>GRAVA GRUESA</v>
      </c>
      <c r="D21" s="17">
        <f t="shared" ref="D21:D23" si="2">1000/(31080000*6)</f>
        <v>5.3625053625053624E-6</v>
      </c>
      <c r="E21" s="6" t="s">
        <v>146</v>
      </c>
      <c r="F21" s="13"/>
      <c r="G21" s="4">
        <v>390</v>
      </c>
      <c r="H21" s="10">
        <f t="shared" si="1"/>
        <v>209.13770913770915</v>
      </c>
      <c r="K21" s="14"/>
      <c r="L21" s="16"/>
    </row>
    <row r="22" spans="2:12" x14ac:dyDescent="0.25">
      <c r="B22" t="s">
        <v>112</v>
      </c>
      <c r="C22" t="str">
        <f>+VLOOKUP(B22,TABLA_1_INV!A8:K50,3,FALSE)</f>
        <v>GRAVA MEDIA</v>
      </c>
      <c r="D22" s="17">
        <f t="shared" si="2"/>
        <v>5.3625053625053624E-6</v>
      </c>
      <c r="E22" s="6" t="s">
        <v>146</v>
      </c>
      <c r="F22" s="13"/>
      <c r="G22" s="4">
        <v>390</v>
      </c>
      <c r="H22" s="10">
        <f t="shared" si="1"/>
        <v>209.13770913770915</v>
      </c>
    </row>
    <row r="23" spans="2:12" x14ac:dyDescent="0.25">
      <c r="B23" t="s">
        <v>113</v>
      </c>
      <c r="C23" t="str">
        <f>+VLOOKUP(B23,TABLA_1_INV!A9:K51,3,FALSE)</f>
        <v>GRAVA FINA</v>
      </c>
      <c r="D23" s="17">
        <f t="shared" si="2"/>
        <v>5.3625053625053624E-6</v>
      </c>
      <c r="E23" s="6" t="s">
        <v>146</v>
      </c>
      <c r="F23" s="13"/>
      <c r="G23" s="4">
        <v>370</v>
      </c>
      <c r="H23" s="10">
        <f t="shared" si="1"/>
        <v>198.4126984126984</v>
      </c>
    </row>
    <row r="24" spans="2:12" x14ac:dyDescent="0.25">
      <c r="B24" t="s">
        <v>114</v>
      </c>
      <c r="C24" t="str">
        <f>+VLOOKUP(B24,TABLA_1_INV!A10:K52,3,FALSE)</f>
        <v xml:space="preserve">ARENA </v>
      </c>
      <c r="D24" s="17">
        <f>350/(31080000*6)</f>
        <v>1.8768768768768768E-6</v>
      </c>
      <c r="E24" s="6" t="s">
        <v>146</v>
      </c>
      <c r="F24" s="13"/>
      <c r="G24" s="4">
        <v>980</v>
      </c>
      <c r="H24" s="10">
        <f t="shared" si="1"/>
        <v>183.93393393393393</v>
      </c>
    </row>
    <row r="25" spans="2:12" x14ac:dyDescent="0.25">
      <c r="B25" t="s">
        <v>116</v>
      </c>
      <c r="C25" t="str">
        <f>+VLOOKUP(B25,TABLA_1_INV!A12:K54,3,FALSE)</f>
        <v>CARBON ACTIVADO</v>
      </c>
      <c r="D25" s="17">
        <f>80/(31080000*6)</f>
        <v>4.2900042900042898E-7</v>
      </c>
      <c r="E25" s="6" t="s">
        <v>146</v>
      </c>
      <c r="F25" s="13"/>
      <c r="G25" s="4">
        <f>100000/10</f>
        <v>10000</v>
      </c>
      <c r="H25" s="10">
        <f t="shared" si="1"/>
        <v>429.00042900042899</v>
      </c>
    </row>
    <row r="26" spans="2:12" x14ac:dyDescent="0.25">
      <c r="B26" t="s">
        <v>117</v>
      </c>
      <c r="C26" t="str">
        <f>+VLOOKUP(B26,TABLA_1_INV!A14:K55,3,FALSE)</f>
        <v>LAMINAS DE HIERRO</v>
      </c>
      <c r="D26" s="17">
        <f>80/(31080000*12)</f>
        <v>2.1450021450021449E-7</v>
      </c>
      <c r="E26" s="6" t="s">
        <v>146</v>
      </c>
      <c r="F26" s="13"/>
      <c r="G26" s="4">
        <f>250000/10</f>
        <v>25000</v>
      </c>
      <c r="H26" s="10">
        <f t="shared" ref="H26:H28" si="3">+(D26*G26)*$H$9</f>
        <v>536.25053625053624</v>
      </c>
    </row>
    <row r="27" spans="2:12" x14ac:dyDescent="0.25">
      <c r="B27" t="s">
        <v>127</v>
      </c>
      <c r="C27" t="str">
        <f>+VLOOKUP(B27,TABLA_1_INV!A15:K56,3,FALSE)</f>
        <v>LAMINAS DE ACERO INOX</v>
      </c>
      <c r="D27" s="39">
        <f>6/(31080000/2)</f>
        <v>3.8610038610038608E-7</v>
      </c>
      <c r="E27" s="6" t="s">
        <v>2372</v>
      </c>
      <c r="G27" s="4">
        <f>146000*6</f>
        <v>876000</v>
      </c>
      <c r="H27" s="10">
        <f>+(D27*G27)*$H$9</f>
        <v>33822.393822393824</v>
      </c>
    </row>
    <row r="28" spans="2:12" x14ac:dyDescent="0.25">
      <c r="B28" t="s">
        <v>128</v>
      </c>
      <c r="C28" t="str">
        <f>+VLOOKUP(B28,TABLA_1_INV!A16:K57,3,FALSE)</f>
        <v>MANGAS DE UF</v>
      </c>
      <c r="D28" s="39">
        <f>400/(31080000*60)</f>
        <v>2.1450021450021449E-7</v>
      </c>
      <c r="E28" s="6" t="s">
        <v>2372</v>
      </c>
      <c r="G28" s="4">
        <f>400*900</f>
        <v>360000</v>
      </c>
      <c r="H28" s="10">
        <f t="shared" si="3"/>
        <v>7722.0077220077219</v>
      </c>
    </row>
    <row r="30" spans="2:12" x14ac:dyDescent="0.25">
      <c r="C30" t="s">
        <v>2235</v>
      </c>
      <c r="D30" t="s">
        <v>2293</v>
      </c>
      <c r="E30" t="s">
        <v>2236</v>
      </c>
      <c r="F30" t="s">
        <v>2237</v>
      </c>
    </row>
    <row r="31" spans="2:12" x14ac:dyDescent="0.25">
      <c r="C31" t="s">
        <v>2282</v>
      </c>
      <c r="D31" s="12">
        <f>10*1.341</f>
        <v>13.41</v>
      </c>
      <c r="E31" s="10">
        <f t="shared" ref="E31:E36" si="4">+D31*760.5</f>
        <v>10198.305</v>
      </c>
      <c r="F31" s="4">
        <f t="shared" ref="F31:F36" si="5">+E31*$H$11</f>
        <v>28328.625</v>
      </c>
      <c r="H31" s="8">
        <f>+F31</f>
        <v>28328.625</v>
      </c>
    </row>
    <row r="32" spans="2:12" x14ac:dyDescent="0.25">
      <c r="C32" t="s">
        <v>2301</v>
      </c>
      <c r="D32" s="12">
        <f>40/1000</f>
        <v>0.04</v>
      </c>
      <c r="E32" s="10">
        <f t="shared" si="4"/>
        <v>30.42</v>
      </c>
      <c r="F32" s="4">
        <f t="shared" si="5"/>
        <v>84.5</v>
      </c>
      <c r="H32" s="8">
        <f t="shared" ref="H32:H36" si="6">+F32</f>
        <v>84.5</v>
      </c>
    </row>
    <row r="33" spans="2:9" x14ac:dyDescent="0.25">
      <c r="C33" s="49" t="s">
        <v>2233</v>
      </c>
      <c r="D33" s="12">
        <f>10*1.341</f>
        <v>13.41</v>
      </c>
      <c r="E33" s="10">
        <f t="shared" si="4"/>
        <v>10198.305</v>
      </c>
      <c r="F33" s="4">
        <f t="shared" si="5"/>
        <v>28328.625</v>
      </c>
      <c r="H33" s="8">
        <f t="shared" si="6"/>
        <v>28328.625</v>
      </c>
    </row>
    <row r="34" spans="2:9" x14ac:dyDescent="0.25">
      <c r="C34" t="s">
        <v>2283</v>
      </c>
      <c r="D34" s="12">
        <v>11</v>
      </c>
      <c r="E34" s="10">
        <f t="shared" si="4"/>
        <v>8365.5</v>
      </c>
      <c r="F34" s="4">
        <f t="shared" si="5"/>
        <v>23237.5</v>
      </c>
      <c r="H34" s="8">
        <f t="shared" si="6"/>
        <v>23237.5</v>
      </c>
    </row>
    <row r="35" spans="2:9" x14ac:dyDescent="0.25">
      <c r="C35" t="s">
        <v>2234</v>
      </c>
      <c r="D35" s="12">
        <v>2.2000000000000002</v>
      </c>
      <c r="E35" s="10">
        <f t="shared" si="4"/>
        <v>1673.1000000000001</v>
      </c>
      <c r="F35" s="4">
        <f t="shared" si="5"/>
        <v>4647.5</v>
      </c>
      <c r="H35" s="8">
        <f t="shared" si="6"/>
        <v>4647.5</v>
      </c>
    </row>
    <row r="36" spans="2:9" x14ac:dyDescent="0.25">
      <c r="C36" t="s">
        <v>2371</v>
      </c>
      <c r="D36" s="12">
        <v>5</v>
      </c>
      <c r="E36" s="10">
        <f t="shared" si="4"/>
        <v>3802.5</v>
      </c>
      <c r="F36" s="4">
        <f t="shared" si="5"/>
        <v>10562.5</v>
      </c>
      <c r="H36" s="8">
        <f t="shared" si="6"/>
        <v>10562.5</v>
      </c>
    </row>
    <row r="38" spans="2:9" x14ac:dyDescent="0.25">
      <c r="C38" t="s">
        <v>2296</v>
      </c>
      <c r="G38" s="8">
        <f>+'TABLA_7_MANO DE OBRA'!H10</f>
        <v>0.66608944658944658</v>
      </c>
      <c r="H38" s="4">
        <f>+G38*H9</f>
        <v>66608.94465894466</v>
      </c>
    </row>
    <row r="39" spans="2:9" x14ac:dyDescent="0.25">
      <c r="C39" t="s">
        <v>2375</v>
      </c>
      <c r="G39" s="4">
        <f>+TABLA_CIF!F9</f>
        <v>3.3012424491634489</v>
      </c>
      <c r="H39" s="4">
        <f>+G39*H9</f>
        <v>330124.24491634488</v>
      </c>
    </row>
    <row r="41" spans="2:9" ht="18.75" x14ac:dyDescent="0.3">
      <c r="B41" s="46"/>
      <c r="C41" s="46" t="s">
        <v>2285</v>
      </c>
      <c r="D41" s="46"/>
      <c r="E41" s="46"/>
      <c r="F41" s="46"/>
      <c r="G41" s="46"/>
      <c r="H41" s="47">
        <f>SUM(H14:H40)</f>
        <v>635708.08561093558</v>
      </c>
      <c r="I41" s="48"/>
    </row>
  </sheetData>
  <mergeCells count="2">
    <mergeCell ref="B2:C4"/>
    <mergeCell ref="D2:H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8811B-6120-457F-9417-9744BB080F79}">
  <dimension ref="A1:G9"/>
  <sheetViews>
    <sheetView workbookViewId="0">
      <selection activeCell="D14" sqref="D14"/>
    </sheetView>
  </sheetViews>
  <sheetFormatPr baseColWidth="10" defaultRowHeight="15" x14ac:dyDescent="0.25"/>
  <cols>
    <col min="1" max="1" width="46.28515625" customWidth="1"/>
    <col min="2" max="2" width="15.28515625" bestFit="1" customWidth="1"/>
    <col min="3" max="5" width="12.5703125" bestFit="1" customWidth="1"/>
    <col min="6" max="6" width="11.7109375" bestFit="1" customWidth="1"/>
  </cols>
  <sheetData>
    <row r="1" spans="1:7" x14ac:dyDescent="0.25">
      <c r="C1" s="50">
        <v>1</v>
      </c>
      <c r="D1" s="50">
        <v>0.75</v>
      </c>
      <c r="E1" s="50">
        <v>0.5</v>
      </c>
      <c r="F1" s="50">
        <v>0.25</v>
      </c>
    </row>
    <row r="2" spans="1:7" x14ac:dyDescent="0.25">
      <c r="C2" s="16">
        <v>31080000</v>
      </c>
      <c r="D2" s="16">
        <f>+C2*75%</f>
        <v>23310000</v>
      </c>
      <c r="E2" s="16">
        <f>+C2*50%</f>
        <v>15540000</v>
      </c>
      <c r="F2" s="16">
        <f>+C2*25%</f>
        <v>7770000</v>
      </c>
      <c r="G2" t="s">
        <v>2387</v>
      </c>
    </row>
    <row r="3" spans="1:7" x14ac:dyDescent="0.25">
      <c r="A3" t="s">
        <v>2376</v>
      </c>
      <c r="B3" s="8">
        <f>+'TABLA_7_MANO DE OBRA'!I9</f>
        <v>23291183.829999998</v>
      </c>
      <c r="C3" s="12">
        <f>+B3/$C$2</f>
        <v>0.74939458912483903</v>
      </c>
      <c r="D3" s="12">
        <f>+B3/$D$2</f>
        <v>0.99919278549978541</v>
      </c>
      <c r="E3" s="12">
        <f>+B3/$E$2</f>
        <v>1.4987891782496781</v>
      </c>
      <c r="F3" s="12">
        <f>+B3/$F$2</f>
        <v>2.9975783564993561</v>
      </c>
      <c r="G3" t="s">
        <v>2388</v>
      </c>
    </row>
    <row r="4" spans="1:7" x14ac:dyDescent="0.25">
      <c r="A4" s="42" t="s">
        <v>2377</v>
      </c>
      <c r="B4" s="43">
        <v>250000</v>
      </c>
      <c r="C4" s="12">
        <f t="shared" ref="C4:C8" si="0">+B4/$C$2</f>
        <v>8.0437580437580439E-3</v>
      </c>
      <c r="D4" s="12">
        <f t="shared" ref="D4:D8" si="1">+B4/$D$2</f>
        <v>1.0725010725010725E-2</v>
      </c>
      <c r="E4" s="12">
        <f t="shared" ref="E4:E8" si="2">+B4/$E$2</f>
        <v>1.6087516087516088E-2</v>
      </c>
      <c r="F4" s="12">
        <f t="shared" ref="F4:F8" si="3">+B4/$F$2</f>
        <v>3.2175032175032175E-2</v>
      </c>
      <c r="G4" t="s">
        <v>2388</v>
      </c>
    </row>
    <row r="5" spans="1:7" x14ac:dyDescent="0.25">
      <c r="A5" s="42" t="s">
        <v>2378</v>
      </c>
      <c r="B5" s="43">
        <f>5037880/4</f>
        <v>1259470</v>
      </c>
      <c r="C5" s="12">
        <f t="shared" si="0"/>
        <v>4.0523487773487771E-2</v>
      </c>
      <c r="D5" s="12">
        <f t="shared" si="1"/>
        <v>5.4031317031317035E-2</v>
      </c>
      <c r="E5" s="12">
        <f t="shared" si="2"/>
        <v>8.1046975546975542E-2</v>
      </c>
      <c r="F5" s="12">
        <f t="shared" si="3"/>
        <v>0.16209395109395108</v>
      </c>
      <c r="G5" t="s">
        <v>2388</v>
      </c>
    </row>
    <row r="6" spans="1:7" x14ac:dyDescent="0.25">
      <c r="A6" s="42" t="s">
        <v>2379</v>
      </c>
      <c r="B6" s="43">
        <v>300000</v>
      </c>
      <c r="C6" s="12">
        <f t="shared" si="0"/>
        <v>9.6525096525096523E-3</v>
      </c>
      <c r="D6" s="12">
        <f t="shared" si="1"/>
        <v>1.2870012870012869E-2</v>
      </c>
      <c r="E6" s="12">
        <f t="shared" si="2"/>
        <v>1.9305019305019305E-2</v>
      </c>
      <c r="F6" s="12">
        <f t="shared" si="3"/>
        <v>3.8610038610038609E-2</v>
      </c>
      <c r="G6" t="s">
        <v>2388</v>
      </c>
    </row>
    <row r="7" spans="1:7" x14ac:dyDescent="0.25">
      <c r="A7" s="42" t="s">
        <v>2380</v>
      </c>
      <c r="B7" s="43">
        <v>150000</v>
      </c>
      <c r="C7" s="12">
        <f t="shared" si="0"/>
        <v>4.8262548262548262E-3</v>
      </c>
      <c r="D7" s="12">
        <f t="shared" si="1"/>
        <v>6.4350064350064346E-3</v>
      </c>
      <c r="E7" s="12">
        <f t="shared" si="2"/>
        <v>9.6525096525096523E-3</v>
      </c>
      <c r="F7" s="12">
        <f t="shared" si="3"/>
        <v>1.9305019305019305E-2</v>
      </c>
      <c r="G7" t="s">
        <v>2388</v>
      </c>
    </row>
    <row r="8" spans="1:7" x14ac:dyDescent="0.25">
      <c r="A8" s="42" t="s">
        <v>2381</v>
      </c>
      <c r="B8" s="43">
        <v>400000</v>
      </c>
      <c r="C8" s="12">
        <f t="shared" si="0"/>
        <v>1.2870012870012869E-2</v>
      </c>
      <c r="D8" s="12">
        <f t="shared" si="1"/>
        <v>1.7160017160017159E-2</v>
      </c>
      <c r="E8" s="12">
        <f t="shared" si="2"/>
        <v>2.5740025740025738E-2</v>
      </c>
      <c r="F8" s="12">
        <f t="shared" si="3"/>
        <v>5.1480051480051477E-2</v>
      </c>
      <c r="G8" t="s">
        <v>2388</v>
      </c>
    </row>
    <row r="9" spans="1:7" x14ac:dyDescent="0.25">
      <c r="A9" s="42" t="s">
        <v>2386</v>
      </c>
      <c r="C9" s="12">
        <f>SUM(C3:C8)</f>
        <v>0.82531061229086222</v>
      </c>
      <c r="D9" s="12">
        <f t="shared" ref="D9:F9" si="4">SUM(D3:D8)</f>
        <v>1.1004141497211497</v>
      </c>
      <c r="E9" s="12">
        <f t="shared" si="4"/>
        <v>1.6506212245817244</v>
      </c>
      <c r="F9" s="12">
        <f t="shared" si="4"/>
        <v>3.3012424491634489</v>
      </c>
      <c r="G9" t="s">
        <v>2388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TABLA_1_INV</vt:lpstr>
      <vt:lpstr>TABLA_2_MASTER</vt:lpstr>
      <vt:lpstr>TABLA_3_ALMACEN</vt:lpstr>
      <vt:lpstr>TABLA_4_BODEGA</vt:lpstr>
      <vt:lpstr>TABLA_5_CLIENTES</vt:lpstr>
      <vt:lpstr>TABLA_6_PRODUCTO TERMINADO</vt:lpstr>
      <vt:lpstr>TABLA_7_MANO DE OBRA</vt:lpstr>
      <vt:lpstr>TABLA_8_DEPRECIACION EQUIPOS </vt:lpstr>
      <vt:lpstr>CALCULO_FCA</vt:lpstr>
      <vt:lpstr>FORMATO_ORDEN DE PRODUCCION</vt:lpstr>
      <vt:lpstr>TABLA_CIF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PTAR SABANA DE OCCIDENTE</dc:creator>
  <cp:lastModifiedBy>seguridadysaludsabana taox.com.co</cp:lastModifiedBy>
  <dcterms:created xsi:type="dcterms:W3CDTF">2025-09-19T13:44:56Z</dcterms:created>
  <dcterms:modified xsi:type="dcterms:W3CDTF">2026-01-06T12:07:52Z</dcterms:modified>
</cp:coreProperties>
</file>